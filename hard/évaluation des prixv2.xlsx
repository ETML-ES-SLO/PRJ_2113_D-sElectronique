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3"/>
  <workbookPr filterPrivacy="1"/>
  <xr:revisionPtr revIDLastSave="0" documentId="11_C6A27C5CCF1604BEAE2D0E6039F4C817BB04C7B5" xr6:coauthVersionLast="47" xr6:coauthVersionMax="47" xr10:uidLastSave="{00000000-0000-0000-0000-000000000000}"/>
  <bookViews>
    <workbookView xWindow="0" yWindow="0" windowWidth="28800" windowHeight="12885" xr2:uid="{00000000-000D-0000-FFFF-FFFF00000000}"/>
  </bookViews>
  <sheets>
    <sheet name="Version2" sheetId="6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27" i="6" l="1"/>
  <c r="U27" i="6"/>
  <c r="U29" i="6" l="1"/>
  <c r="U28" i="6"/>
  <c r="U32" i="6" s="1"/>
  <c r="AE32" i="6"/>
  <c r="AH30" i="6"/>
  <c r="AH32" i="6" s="1"/>
  <c r="X32" i="6"/>
  <c r="X30" i="6"/>
  <c r="AH26" i="6"/>
  <c r="AE26" i="6"/>
  <c r="AH24" i="6"/>
  <c r="AE24" i="6"/>
  <c r="AH22" i="6"/>
  <c r="AE22" i="6"/>
  <c r="AH21" i="6"/>
  <c r="AE21" i="6"/>
  <c r="AH19" i="6"/>
  <c r="AE19" i="6"/>
  <c r="AH18" i="6"/>
  <c r="AE18" i="6"/>
  <c r="AH17" i="6"/>
  <c r="AE17" i="6"/>
  <c r="AH15" i="6"/>
  <c r="AE15" i="6"/>
  <c r="AH14" i="6"/>
  <c r="AE14" i="6"/>
  <c r="AH12" i="6"/>
  <c r="AE12" i="6"/>
  <c r="AH10" i="6"/>
  <c r="AE10" i="6"/>
  <c r="AH9" i="6"/>
  <c r="AE9" i="6"/>
  <c r="AH8" i="6"/>
  <c r="AE8" i="6"/>
  <c r="AH7" i="6"/>
  <c r="AE7" i="6"/>
  <c r="AH6" i="6"/>
  <c r="AE6" i="6"/>
  <c r="M6" i="6"/>
  <c r="M7" i="6"/>
  <c r="N7" i="6" s="1"/>
  <c r="M8" i="6"/>
  <c r="N8" i="6" s="1"/>
  <c r="M9" i="6"/>
  <c r="M10" i="6"/>
  <c r="M11" i="6"/>
  <c r="N11" i="6" s="1"/>
  <c r="M12" i="6"/>
  <c r="N12" i="6" s="1"/>
  <c r="M13" i="6"/>
  <c r="N13" i="6" s="1"/>
  <c r="M14" i="6"/>
  <c r="N14" i="6" s="1"/>
  <c r="M15" i="6"/>
  <c r="N15" i="6" s="1"/>
  <c r="M16" i="6"/>
  <c r="N16" i="6" s="1"/>
  <c r="M17" i="6"/>
  <c r="M18" i="6"/>
  <c r="N18" i="6" s="1"/>
  <c r="M19" i="6"/>
  <c r="N19" i="6" s="1"/>
  <c r="M20" i="6"/>
  <c r="N20" i="6" s="1"/>
  <c r="M21" i="6"/>
  <c r="N21" i="6" s="1"/>
  <c r="M22" i="6"/>
  <c r="M23" i="6"/>
  <c r="N23" i="6" s="1"/>
  <c r="M24" i="6"/>
  <c r="N24" i="6" s="1"/>
  <c r="M29" i="6"/>
  <c r="N29" i="6" s="1"/>
  <c r="M28" i="6"/>
  <c r="N28" i="6" s="1"/>
  <c r="M27" i="6"/>
  <c r="N27" i="6" s="1"/>
  <c r="M26" i="6"/>
  <c r="N26" i="6" s="1"/>
  <c r="M25" i="6"/>
  <c r="N25" i="6" s="1"/>
  <c r="N22" i="6"/>
  <c r="N17" i="6"/>
  <c r="N10" i="6"/>
  <c r="N9" i="6"/>
  <c r="N6" i="6"/>
  <c r="G32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6" i="6"/>
  <c r="F32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6" i="6"/>
  <c r="X7" i="6"/>
  <c r="X8" i="6"/>
  <c r="X9" i="6"/>
  <c r="X10" i="6"/>
  <c r="X12" i="6"/>
  <c r="X14" i="6"/>
  <c r="X15" i="6"/>
  <c r="X17" i="6"/>
  <c r="X18" i="6"/>
  <c r="X19" i="6"/>
  <c r="X21" i="6"/>
  <c r="X22" i="6"/>
  <c r="X24" i="6"/>
  <c r="X26" i="6"/>
  <c r="X6" i="6"/>
  <c r="U7" i="6"/>
  <c r="U8" i="6"/>
  <c r="U9" i="6"/>
  <c r="U10" i="6"/>
  <c r="U12" i="6"/>
  <c r="U14" i="6"/>
  <c r="U15" i="6"/>
  <c r="U17" i="6"/>
  <c r="U18" i="6"/>
  <c r="U19" i="6"/>
  <c r="U21" i="6"/>
  <c r="U22" i="6"/>
  <c r="U24" i="6"/>
  <c r="U26" i="6"/>
  <c r="U6" i="6"/>
  <c r="AH33" i="6" l="1"/>
  <c r="N32" i="6"/>
  <c r="M32" i="6"/>
  <c r="X33" i="6"/>
</calcChain>
</file>

<file path=xl/sharedStrings.xml><?xml version="1.0" encoding="utf-8"?>
<sst xmlns="http://schemas.openxmlformats.org/spreadsheetml/2006/main" count="231" uniqueCount="84">
  <si>
    <t>Liste de composant original avec les composant initiaux</t>
  </si>
  <si>
    <t>Liste de composant original les prix actuels</t>
  </si>
  <si>
    <t>Liste de composant avec solution Sousa</t>
  </si>
  <si>
    <t>Liste de composant avec solution Moreno</t>
  </si>
  <si>
    <t>Version 1</t>
  </si>
  <si>
    <t>Version 2</t>
  </si>
  <si>
    <t>Type de composant</t>
  </si>
  <si>
    <t>Référence fabricant</t>
  </si>
  <si>
    <t>Qty</t>
  </si>
  <si>
    <t>Prix ancien</t>
  </si>
  <si>
    <t>Prix total</t>
  </si>
  <si>
    <t>Prix pour 100</t>
  </si>
  <si>
    <t>Prix actuel</t>
  </si>
  <si>
    <t>lien</t>
  </si>
  <si>
    <t>prix unité</t>
  </si>
  <si>
    <t>prix total unité</t>
  </si>
  <si>
    <t>Qty pour 100</t>
  </si>
  <si>
    <t>prix pour 100</t>
  </si>
  <si>
    <t>prix total (100)</t>
  </si>
  <si>
    <t>Microcontrôleur</t>
  </si>
  <si>
    <t>PIC32MM0064GPL020-I/SS</t>
  </si>
  <si>
    <t>PIC32MM0064GPL020-I/SS - Microchip | Farnell CH</t>
  </si>
  <si>
    <t>Condo découplage</t>
  </si>
  <si>
    <t>100nF</t>
  </si>
  <si>
    <t>C0805C104K5RAC7411</t>
  </si>
  <si>
    <t>C0805C104K5RAC7411 KEMET | Mouser Schweiz</t>
  </si>
  <si>
    <t>Cefc</t>
  </si>
  <si>
    <t>10uF</t>
  </si>
  <si>
    <t>CL21A106KOCLRNC</t>
  </si>
  <si>
    <t>R1 MLR</t>
  </si>
  <si>
    <t>1k</t>
  </si>
  <si>
    <t>RNCP0805FTD1K00</t>
  </si>
  <si>
    <t>R2 MCLR</t>
  </si>
  <si>
    <t>10k</t>
  </si>
  <si>
    <t>RMCF0805JT10K0</t>
  </si>
  <si>
    <t>Accéléromètre</t>
  </si>
  <si>
    <t>MC3419</t>
  </si>
  <si>
    <t>MC3419 Memsic Inc. | Sensors, Transducers | DigiKey</t>
  </si>
  <si>
    <t>MOSFET</t>
  </si>
  <si>
    <t>Canal P</t>
  </si>
  <si>
    <t>PMV160UP,215</t>
  </si>
  <si>
    <t>Canal N</t>
  </si>
  <si>
    <t>DMN2114SN-7</t>
  </si>
  <si>
    <t>LEDs</t>
  </si>
  <si>
    <t>APT2012LSECK/J3-PRV</t>
  </si>
  <si>
    <t>APT2012LSECK/J3-PRV Kingbright | Optoelectronics | DigiKey</t>
  </si>
  <si>
    <t>RLED 560 ohms</t>
  </si>
  <si>
    <t>ERA-6AED561V</t>
  </si>
  <si>
    <t>ERA-6AED561V Panasonic | Mouser Suisse</t>
  </si>
  <si>
    <t>Résistance 100k ohms</t>
  </si>
  <si>
    <t>MCS04020D1003BE000</t>
  </si>
  <si>
    <t>Support de pile</t>
  </si>
  <si>
    <t>BK-53</t>
  </si>
  <si>
    <t>Pile AA</t>
  </si>
  <si>
    <t>LR03XWA/B</t>
  </si>
  <si>
    <t>Diode Shottky</t>
  </si>
  <si>
    <t>BAT54_R1_00001</t>
  </si>
  <si>
    <t>BAT54_R1_00001 Panjit International Inc. | Discrete Semiconductor Products | DigiKey</t>
  </si>
  <si>
    <t>Convertisseur step up</t>
  </si>
  <si>
    <t>R1210N331D-TR-FE</t>
  </si>
  <si>
    <t>TPS6107</t>
  </si>
  <si>
    <t>https://octopart.com/search?q=TPS6107&amp;currency=CHF&amp;specs=0</t>
  </si>
  <si>
    <t>XCL102D303CR-G</t>
  </si>
  <si>
    <t>XCL102D303CR-G Torex Semiconductor Ltd | Alimentations - Montage sur carte | DigiKey</t>
  </si>
  <si>
    <t>Cout</t>
  </si>
  <si>
    <t>2,2uF</t>
  </si>
  <si>
    <t>CL21B225KPFNNNG</t>
  </si>
  <si>
    <t>bobine</t>
  </si>
  <si>
    <r>
      <t>4,7</t>
    </r>
    <r>
      <rPr>
        <sz val="11"/>
        <color theme="1"/>
        <rFont val="Calibri"/>
        <family val="2"/>
      </rPr>
      <t>µH</t>
    </r>
  </si>
  <si>
    <t>744766904 Würth Elektronik | Inductances, bobines, bobines d'arrêt | DigiKey</t>
  </si>
  <si>
    <t>self</t>
  </si>
  <si>
    <t>560uH</t>
  </si>
  <si>
    <t>LQH32CN561K23L</t>
  </si>
  <si>
    <t>Résistance</t>
  </si>
  <si>
    <r>
      <t>180k</t>
    </r>
    <r>
      <rPr>
        <sz val="11"/>
        <color theme="1"/>
        <rFont val="Calibri"/>
        <family val="2"/>
      </rPr>
      <t>Ω</t>
    </r>
  </si>
  <si>
    <t>Schottky spé par le fab</t>
  </si>
  <si>
    <t>SS13-E3/61T</t>
  </si>
  <si>
    <r>
      <t>1M</t>
    </r>
    <r>
      <rPr>
        <sz val="11"/>
        <color theme="1"/>
        <rFont val="Calibri"/>
        <family val="2"/>
      </rPr>
      <t>Ω</t>
    </r>
  </si>
  <si>
    <t>PCB</t>
  </si>
  <si>
    <t>Eurocircuit</t>
  </si>
  <si>
    <t>Remarque: le convertisseur step up n'est plus disponible</t>
  </si>
  <si>
    <t>pour 1</t>
  </si>
  <si>
    <t>pour 100</t>
  </si>
  <si>
    <t>Prix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</si>
</sst>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CHF&quot;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3">
    <xf numFmtId="0" fontId="0" fillId="0" borderId="0" xfId="0"/>
    <xf numFmtId="164" fontId="0" fillId="0" borderId="0" xfId="0" applyNumberFormat="1"/>
    <xf numFmtId="164" fontId="0" fillId="2" borderId="0" xfId="0" applyNumberFormat="1" applyFill="1"/>
    <xf numFmtId="0" fontId="0" fillId="0" borderId="1" xfId="0" applyBorder="1"/>
    <xf numFmtId="164" fontId="0" fillId="0" borderId="1" xfId="0" applyNumberForma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2" borderId="0" xfId="0" applyFill="1"/>
    <xf numFmtId="0" fontId="0" fillId="0" borderId="0" xfId="0" applyAlignment="1">
      <alignment wrapText="1"/>
    </xf>
    <xf numFmtId="0" fontId="0" fillId="0" borderId="7" xfId="0" applyBorder="1"/>
    <xf numFmtId="0" fontId="0" fillId="0" borderId="8" xfId="0" applyBorder="1"/>
    <xf numFmtId="164" fontId="0" fillId="0" borderId="8" xfId="0" applyNumberFormat="1" applyBorder="1"/>
    <xf numFmtId="164" fontId="0" fillId="0" borderId="9" xfId="0" applyNumberFormat="1" applyBorder="1"/>
    <xf numFmtId="0" fontId="0" fillId="0" borderId="10" xfId="0" applyBorder="1"/>
    <xf numFmtId="0" fontId="0" fillId="0" borderId="11" xfId="0" applyBorder="1"/>
    <xf numFmtId="164" fontId="0" fillId="0" borderId="11" xfId="0" applyNumberFormat="1" applyBorder="1"/>
    <xf numFmtId="164" fontId="0" fillId="0" borderId="12" xfId="0" applyNumberFormat="1" applyBorder="1"/>
    <xf numFmtId="164" fontId="0" fillId="0" borderId="5" xfId="0" applyNumberFormat="1" applyBorder="1"/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0" xfId="1" applyBorder="1"/>
    <xf numFmtId="0" fontId="3" fillId="0" borderId="0" xfId="0" applyFont="1"/>
    <xf numFmtId="164" fontId="0" fillId="0" borderId="2" xfId="0" applyNumberFormat="1" applyBorder="1"/>
    <xf numFmtId="0" fontId="1" fillId="0" borderId="7" xfId="0" applyFont="1" applyBorder="1"/>
    <xf numFmtId="0" fontId="1" fillId="0" borderId="2" xfId="0" applyFont="1" applyBorder="1" applyAlignment="1">
      <alignment horizontal="center"/>
    </xf>
    <xf numFmtId="0" fontId="1" fillId="0" borderId="6" xfId="0" applyFont="1" applyBorder="1"/>
    <xf numFmtId="0" fontId="1" fillId="0" borderId="0" xfId="0" applyFont="1"/>
    <xf numFmtId="0" fontId="1" fillId="0" borderId="1" xfId="0" applyFont="1" applyBorder="1"/>
    <xf numFmtId="0" fontId="0" fillId="0" borderId="9" xfId="0" applyBorder="1"/>
    <xf numFmtId="0" fontId="0" fillId="0" borderId="12" xfId="0" applyBorder="1"/>
    <xf numFmtId="0" fontId="2" fillId="0" borderId="0" xfId="1"/>
    <xf numFmtId="164" fontId="0" fillId="2" borderId="1" xfId="0" applyNumberFormat="1" applyFill="1" applyBorder="1"/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h.farnell.com/microchip/pic32mm0064gpl020-i-ss/mcu-32bit-pic32-25mhz-ssop-20/dp/2610360?CMP=GRHB-OCTOPART" TargetMode="External"/><Relationship Id="rId13" Type="http://schemas.openxmlformats.org/officeDocument/2006/relationships/hyperlink" Target="https://www.digikey.ch/fr/products/detail/torex-semiconductor-ltd/XCL102D303CR-G/7361180" TargetMode="External"/><Relationship Id="rId3" Type="http://schemas.openxmlformats.org/officeDocument/2006/relationships/hyperlink" Target="https://www.digikey.ch/en/products/detail/APT2012LSECK-J3-PRV/754-1935-1-ND/5177465?curr=chf&amp;utm_campaign=buynow&amp;utm_medium=aggregator&amp;utm_source=octopart" TargetMode="External"/><Relationship Id="rId7" Type="http://schemas.openxmlformats.org/officeDocument/2006/relationships/hyperlink" Target="https://www.mouser.ch/ProductDetail/KEMET/C0805C104K5RAC7411?qs=jbRM9o5BbzPcVXF0wW9AYg%3D%3D" TargetMode="External"/><Relationship Id="rId12" Type="http://schemas.openxmlformats.org/officeDocument/2006/relationships/hyperlink" Target="https://www.digikey.ch/en/products/detail/BAT54_R1_00001/3757-BAT54_R1_00001CT-ND/14661364?curr=chf&amp;utm_campaign=buynow&amp;utm_medium=aggregator&amp;utm_source=octopart" TargetMode="External"/><Relationship Id="rId2" Type="http://schemas.openxmlformats.org/officeDocument/2006/relationships/hyperlink" Target="https://www.digikey.ch/en/products/detail/MC3419/3502-MC3419CT-ND/15292813?curr=usd&amp;utm_campaign=buynow&amp;utm_medium=aggregator&amp;utm_source=octopart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ch.farnell.com/microchip/pic32mm0064gpl020-i-ss/mcu-32bit-pic32-25mhz-ssop-20/dp/2610360?CMP=GRHB-OCTOPART" TargetMode="External"/><Relationship Id="rId6" Type="http://schemas.openxmlformats.org/officeDocument/2006/relationships/hyperlink" Target="https://octopart.com/search?q=TPS6107&amp;currency=CHF&amp;specs=0" TargetMode="External"/><Relationship Id="rId11" Type="http://schemas.openxmlformats.org/officeDocument/2006/relationships/hyperlink" Target="https://www.mouser.ch/ProductDetail/Panasonic/ERA-6AED561V?qs=MNPzkKEzRtSreMWvSlWHLQ%3D%3D" TargetMode="External"/><Relationship Id="rId5" Type="http://schemas.openxmlformats.org/officeDocument/2006/relationships/hyperlink" Target="https://www.digikey.ch/en/products/detail/BAT54_R1_00001/3757-BAT54_R1_00001CT-ND/14661364?curr=chf&amp;utm_campaign=buynow&amp;utm_medium=aggregator&amp;utm_source=octopart" TargetMode="External"/><Relationship Id="rId15" Type="http://schemas.openxmlformats.org/officeDocument/2006/relationships/hyperlink" Target="https://www.digikey.ch/fr/products/detail/w%C3%BCrth-elektronik/744766904/5353118" TargetMode="External"/><Relationship Id="rId10" Type="http://schemas.openxmlformats.org/officeDocument/2006/relationships/hyperlink" Target="https://www.digikey.ch/en/products/detail/APT2012LSECK-J3-PRV/754-1935-1-ND/5177465?curr=chf&amp;utm_campaign=buynow&amp;utm_medium=aggregator&amp;utm_source=octopart" TargetMode="External"/><Relationship Id="rId4" Type="http://schemas.openxmlformats.org/officeDocument/2006/relationships/hyperlink" Target="https://www.mouser.ch/ProductDetail/Panasonic/ERA-6AED561V?qs=MNPzkKEzRtSreMWvSlWHLQ%3D%3D" TargetMode="External"/><Relationship Id="rId9" Type="http://schemas.openxmlformats.org/officeDocument/2006/relationships/hyperlink" Target="https://www.digikey.ch/en/products/detail/MC3419/3502-MC3419CT-ND/15292813?curr=usd&amp;utm_campaign=buynow&amp;utm_medium=aggregator&amp;utm_source=octopart" TargetMode="External"/><Relationship Id="rId14" Type="http://schemas.openxmlformats.org/officeDocument/2006/relationships/hyperlink" Target="https://www.mouser.ch/ProductDetail/KEMET/C0805C104K5RAC7411?qs=jbRM9o5BbzPcVXF0wW9AYg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7"/>
  <sheetViews>
    <sheetView tabSelected="1" topLeftCell="J1" zoomScale="70" zoomScaleNormal="70" workbookViewId="0">
      <selection activeCell="T38" sqref="T38"/>
    </sheetView>
  </sheetViews>
  <sheetFormatPr defaultColWidth="11.42578125" defaultRowHeight="15"/>
  <cols>
    <col min="1" max="1" width="22" bestFit="1" customWidth="1"/>
    <col min="2" max="2" width="10" bestFit="1" customWidth="1"/>
    <col min="3" max="3" width="25.85546875" bestFit="1" customWidth="1"/>
    <col min="5" max="6" width="10.7109375" customWidth="1"/>
    <col min="7" max="7" width="15.7109375" customWidth="1"/>
    <col min="8" max="8" width="22.140625" customWidth="1"/>
    <col min="9" max="9" width="13" customWidth="1"/>
    <col min="10" max="10" width="23.42578125" customWidth="1"/>
    <col min="11" max="13" width="13" customWidth="1"/>
    <col min="14" max="14" width="17.28515625" customWidth="1"/>
    <col min="15" max="15" width="23.5703125" customWidth="1"/>
    <col min="17" max="17" width="24.42578125" customWidth="1"/>
    <col min="21" max="21" width="17.7109375" customWidth="1"/>
    <col min="22" max="22" width="15.85546875" customWidth="1"/>
    <col min="23" max="23" width="17.5703125" customWidth="1"/>
    <col min="24" max="24" width="17.7109375" customWidth="1"/>
    <col min="25" max="25" width="23.42578125" customWidth="1"/>
    <col min="26" max="26" width="13.5703125" customWidth="1"/>
    <col min="27" max="27" width="29.28515625" customWidth="1"/>
    <col min="31" max="31" width="17.5703125" customWidth="1"/>
    <col min="32" max="32" width="15.7109375" customWidth="1"/>
    <col min="33" max="33" width="16.140625" customWidth="1"/>
    <col min="34" max="34" width="17.42578125" customWidth="1"/>
  </cols>
  <sheetData>
    <row r="1" spans="1:34" ht="16.5" thickTop="1" thickBot="1">
      <c r="A1" s="5"/>
      <c r="B1" s="6"/>
      <c r="C1" s="6"/>
      <c r="D1" s="6"/>
      <c r="E1" s="6"/>
      <c r="F1" s="6"/>
      <c r="G1" s="7"/>
      <c r="H1" s="5"/>
      <c r="I1" s="6"/>
      <c r="J1" s="6"/>
      <c r="K1" s="6"/>
      <c r="L1" s="6"/>
      <c r="M1" s="6"/>
      <c r="N1" s="7"/>
      <c r="O1" s="15"/>
      <c r="P1" s="16"/>
      <c r="Q1" s="16"/>
      <c r="R1" s="16"/>
      <c r="S1" s="16"/>
      <c r="T1" s="16"/>
      <c r="U1" s="16"/>
      <c r="V1" s="16"/>
      <c r="W1" s="16"/>
      <c r="X1" s="31"/>
      <c r="Y1" s="5"/>
      <c r="Z1" s="6"/>
      <c r="AA1" s="6"/>
      <c r="AB1" s="6"/>
      <c r="AC1" s="6"/>
      <c r="AD1" s="6"/>
      <c r="AE1" s="6"/>
      <c r="AF1" s="6"/>
      <c r="AG1" s="6"/>
      <c r="AH1" s="7"/>
    </row>
    <row r="2" spans="1:34" ht="16.5" thickTop="1" thickBot="1">
      <c r="A2" s="37" t="s">
        <v>0</v>
      </c>
      <c r="B2" s="38"/>
      <c r="C2" s="38"/>
      <c r="D2" s="38"/>
      <c r="E2" s="39"/>
      <c r="F2" s="20"/>
      <c r="G2" s="21"/>
      <c r="H2" s="37" t="s">
        <v>1</v>
      </c>
      <c r="I2" s="38"/>
      <c r="J2" s="38"/>
      <c r="K2" s="38"/>
      <c r="L2" s="39"/>
      <c r="M2" s="20"/>
      <c r="N2" s="21"/>
      <c r="O2" s="11"/>
      <c r="P2" s="35" t="s">
        <v>2</v>
      </c>
      <c r="Q2" s="35"/>
      <c r="R2" s="35"/>
      <c r="S2" s="35"/>
      <c r="T2" s="35"/>
      <c r="U2" s="35"/>
      <c r="V2" s="35"/>
      <c r="W2" s="12"/>
      <c r="X2" s="30"/>
      <c r="Y2" s="8"/>
      <c r="Z2" s="37" t="s">
        <v>3</v>
      </c>
      <c r="AA2" s="38"/>
      <c r="AB2" s="38"/>
      <c r="AC2" s="38"/>
      <c r="AD2" s="38"/>
      <c r="AE2" s="38"/>
      <c r="AF2" s="39"/>
      <c r="AH2" s="3"/>
    </row>
    <row r="3" spans="1:34" ht="16.5" thickTop="1" thickBot="1">
      <c r="A3" s="8"/>
      <c r="C3" s="26" t="s">
        <v>4</v>
      </c>
      <c r="G3" s="3"/>
      <c r="H3" s="8"/>
      <c r="J3" s="26" t="s">
        <v>4</v>
      </c>
      <c r="N3" s="3"/>
      <c r="O3" s="8"/>
      <c r="Q3" s="34" t="s">
        <v>5</v>
      </c>
      <c r="R3" s="35"/>
      <c r="S3" s="35"/>
      <c r="T3" s="35"/>
      <c r="U3" s="36"/>
      <c r="X3" s="3"/>
      <c r="Y3" s="8"/>
      <c r="AA3" s="40" t="s">
        <v>5</v>
      </c>
      <c r="AB3" s="41"/>
      <c r="AC3" s="41"/>
      <c r="AD3" s="41"/>
      <c r="AE3" s="42"/>
      <c r="AH3" s="3"/>
    </row>
    <row r="4" spans="1:34" ht="15.75" thickTop="1">
      <c r="A4" s="8" t="s">
        <v>6</v>
      </c>
      <c r="C4" t="s">
        <v>7</v>
      </c>
      <c r="D4" t="s">
        <v>8</v>
      </c>
      <c r="E4" s="1" t="s">
        <v>9</v>
      </c>
      <c r="F4" s="1" t="s">
        <v>10</v>
      </c>
      <c r="G4" s="4" t="s">
        <v>11</v>
      </c>
      <c r="H4" s="8" t="s">
        <v>6</v>
      </c>
      <c r="J4" t="s">
        <v>7</v>
      </c>
      <c r="K4" t="s">
        <v>8</v>
      </c>
      <c r="L4" s="1" t="s">
        <v>12</v>
      </c>
      <c r="M4" s="1" t="s">
        <v>10</v>
      </c>
      <c r="N4" s="4" t="s">
        <v>11</v>
      </c>
      <c r="O4" s="27" t="s">
        <v>6</v>
      </c>
      <c r="P4" s="28"/>
      <c r="Q4" s="28" t="s">
        <v>7</v>
      </c>
      <c r="R4" s="28" t="s">
        <v>13</v>
      </c>
      <c r="S4" s="28" t="s">
        <v>8</v>
      </c>
      <c r="T4" s="28" t="s">
        <v>14</v>
      </c>
      <c r="U4" s="28" t="s">
        <v>15</v>
      </c>
      <c r="V4" s="28" t="s">
        <v>16</v>
      </c>
      <c r="W4" s="28" t="s">
        <v>17</v>
      </c>
      <c r="X4" s="29" t="s">
        <v>18</v>
      </c>
      <c r="Y4" s="27" t="s">
        <v>6</v>
      </c>
      <c r="Z4" s="28"/>
      <c r="AA4" s="28" t="s">
        <v>7</v>
      </c>
      <c r="AB4" s="28" t="s">
        <v>13</v>
      </c>
      <c r="AC4" s="28" t="s">
        <v>8</v>
      </c>
      <c r="AD4" s="28" t="s">
        <v>14</v>
      </c>
      <c r="AE4" s="28" t="s">
        <v>15</v>
      </c>
      <c r="AF4" s="28" t="s">
        <v>16</v>
      </c>
      <c r="AG4" s="28" t="s">
        <v>17</v>
      </c>
      <c r="AH4" s="29" t="s">
        <v>18</v>
      </c>
    </row>
    <row r="5" spans="1:34">
      <c r="A5" s="8"/>
      <c r="E5" s="1"/>
      <c r="F5" s="1"/>
      <c r="G5" s="4"/>
      <c r="H5" s="8"/>
      <c r="L5" s="1"/>
      <c r="M5" s="1"/>
      <c r="N5" s="4"/>
      <c r="O5" s="8"/>
      <c r="X5" s="3"/>
      <c r="Y5" s="8"/>
      <c r="AH5" s="3"/>
    </row>
    <row r="6" spans="1:34">
      <c r="A6" s="8" t="s">
        <v>19</v>
      </c>
      <c r="C6" t="s">
        <v>20</v>
      </c>
      <c r="D6">
        <v>1</v>
      </c>
      <c r="E6" s="1">
        <v>1.46</v>
      </c>
      <c r="F6" s="1">
        <f>D6*E6</f>
        <v>1.46</v>
      </c>
      <c r="G6" s="4">
        <f>F6*100</f>
        <v>146</v>
      </c>
      <c r="H6" s="8" t="s">
        <v>19</v>
      </c>
      <c r="J6" t="s">
        <v>20</v>
      </c>
      <c r="K6">
        <v>1</v>
      </c>
      <c r="L6" s="2">
        <v>1.55</v>
      </c>
      <c r="M6" s="1">
        <f>K6*L6</f>
        <v>1.55</v>
      </c>
      <c r="N6" s="4">
        <f>M6*100</f>
        <v>155</v>
      </c>
      <c r="O6" s="8" t="s">
        <v>19</v>
      </c>
      <c r="Q6" t="s">
        <v>20</v>
      </c>
      <c r="R6" s="22" t="s">
        <v>21</v>
      </c>
      <c r="S6">
        <v>1</v>
      </c>
      <c r="T6" s="2">
        <v>1.55</v>
      </c>
      <c r="U6" s="1">
        <f>S6*T6</f>
        <v>1.55</v>
      </c>
      <c r="V6">
        <v>100</v>
      </c>
      <c r="W6" s="1">
        <v>1.34</v>
      </c>
      <c r="X6" s="4">
        <f>W6*V6</f>
        <v>134</v>
      </c>
      <c r="Y6" s="8" t="s">
        <v>19</v>
      </c>
      <c r="AA6" t="s">
        <v>20</v>
      </c>
      <c r="AB6" s="22" t="s">
        <v>21</v>
      </c>
      <c r="AC6">
        <v>1</v>
      </c>
      <c r="AD6" s="2">
        <v>1.55</v>
      </c>
      <c r="AE6" s="1">
        <f>AC6*AD6</f>
        <v>1.55</v>
      </c>
      <c r="AF6">
        <v>100</v>
      </c>
      <c r="AG6" s="1">
        <v>1.34</v>
      </c>
      <c r="AH6" s="4">
        <f>AG6*AF6</f>
        <v>134</v>
      </c>
    </row>
    <row r="7" spans="1:34">
      <c r="A7" s="8" t="s">
        <v>22</v>
      </c>
      <c r="B7" t="s">
        <v>23</v>
      </c>
      <c r="C7" t="s">
        <v>24</v>
      </c>
      <c r="D7">
        <v>3</v>
      </c>
      <c r="E7" s="1">
        <v>4.1000000000000002E-2</v>
      </c>
      <c r="F7" s="1">
        <f t="shared" ref="F7:F29" si="0">D7*E7</f>
        <v>0.123</v>
      </c>
      <c r="G7" s="4">
        <f t="shared" ref="G7:G29" si="1">F7*100</f>
        <v>12.3</v>
      </c>
      <c r="H7" s="8" t="s">
        <v>22</v>
      </c>
      <c r="I7" t="s">
        <v>23</v>
      </c>
      <c r="J7" t="s">
        <v>24</v>
      </c>
      <c r="K7">
        <v>3</v>
      </c>
      <c r="L7" s="1">
        <v>0.04</v>
      </c>
      <c r="M7" s="1">
        <f t="shared" ref="M7:M29" si="2">K7*L7</f>
        <v>0.12</v>
      </c>
      <c r="N7" s="4">
        <f t="shared" ref="N7:N29" si="3">M7*100</f>
        <v>12</v>
      </c>
      <c r="O7" s="8" t="s">
        <v>22</v>
      </c>
      <c r="P7" t="s">
        <v>23</v>
      </c>
      <c r="Q7" t="s">
        <v>24</v>
      </c>
      <c r="R7" s="22" t="s">
        <v>25</v>
      </c>
      <c r="S7">
        <v>3</v>
      </c>
      <c r="T7" s="1">
        <v>0.04</v>
      </c>
      <c r="U7" s="1">
        <f>S7*T7</f>
        <v>0.12</v>
      </c>
      <c r="V7">
        <v>300</v>
      </c>
      <c r="W7" s="1">
        <v>4.1000000000000002E-2</v>
      </c>
      <c r="X7" s="4">
        <f t="shared" ref="X7:X30" si="4">W7*V7</f>
        <v>12.3</v>
      </c>
      <c r="Y7" s="8" t="s">
        <v>22</v>
      </c>
      <c r="Z7" t="s">
        <v>23</v>
      </c>
      <c r="AA7" t="s">
        <v>24</v>
      </c>
      <c r="AB7" s="22" t="s">
        <v>25</v>
      </c>
      <c r="AC7">
        <v>3</v>
      </c>
      <c r="AD7" s="1">
        <v>0.04</v>
      </c>
      <c r="AE7" s="1">
        <f>AC7*AD7</f>
        <v>0.12</v>
      </c>
      <c r="AF7">
        <v>300</v>
      </c>
      <c r="AG7" s="1">
        <v>4.1000000000000002E-2</v>
      </c>
      <c r="AH7" s="4">
        <f t="shared" ref="AH7:AH10" si="5">AG7*AF7</f>
        <v>12.3</v>
      </c>
    </row>
    <row r="8" spans="1:34">
      <c r="A8" s="8" t="s">
        <v>26</v>
      </c>
      <c r="B8" t="s">
        <v>27</v>
      </c>
      <c r="C8" t="s">
        <v>28</v>
      </c>
      <c r="D8" s="9">
        <v>1</v>
      </c>
      <c r="E8" s="1">
        <v>4.8000000000000001E-2</v>
      </c>
      <c r="F8" s="1">
        <f t="shared" si="0"/>
        <v>4.8000000000000001E-2</v>
      </c>
      <c r="G8" s="4">
        <f t="shared" si="1"/>
        <v>4.8</v>
      </c>
      <c r="H8" s="8" t="s">
        <v>26</v>
      </c>
      <c r="I8" t="s">
        <v>27</v>
      </c>
      <c r="J8" t="s">
        <v>28</v>
      </c>
      <c r="K8" s="9">
        <v>1</v>
      </c>
      <c r="L8" s="1">
        <v>4.8000000000000001E-2</v>
      </c>
      <c r="M8" s="1">
        <f t="shared" si="2"/>
        <v>4.8000000000000001E-2</v>
      </c>
      <c r="N8" s="4">
        <f t="shared" si="3"/>
        <v>4.8</v>
      </c>
      <c r="O8" s="8" t="s">
        <v>26</v>
      </c>
      <c r="P8" t="s">
        <v>27</v>
      </c>
      <c r="Q8" t="s">
        <v>28</v>
      </c>
      <c r="S8">
        <v>5</v>
      </c>
      <c r="T8" s="1">
        <v>4.8000000000000001E-2</v>
      </c>
      <c r="U8" s="1">
        <f>S8*T8</f>
        <v>0.24</v>
      </c>
      <c r="V8">
        <v>300</v>
      </c>
      <c r="W8" s="1">
        <v>4.8000000000000001E-2</v>
      </c>
      <c r="X8" s="4">
        <f t="shared" si="4"/>
        <v>14.4</v>
      </c>
      <c r="Y8" s="8" t="s">
        <v>26</v>
      </c>
      <c r="Z8" t="s">
        <v>27</v>
      </c>
      <c r="AA8" t="s">
        <v>28</v>
      </c>
      <c r="AC8">
        <v>3</v>
      </c>
      <c r="AD8" s="1">
        <v>4.8000000000000001E-2</v>
      </c>
      <c r="AE8" s="1">
        <f>AC8*AD8</f>
        <v>0.14400000000000002</v>
      </c>
      <c r="AF8">
        <v>300</v>
      </c>
      <c r="AG8" s="1">
        <v>4.8000000000000001E-2</v>
      </c>
      <c r="AH8" s="4">
        <f t="shared" si="5"/>
        <v>14.4</v>
      </c>
    </row>
    <row r="9" spans="1:34">
      <c r="A9" s="8" t="s">
        <v>29</v>
      </c>
      <c r="B9" t="s">
        <v>30</v>
      </c>
      <c r="C9" t="s">
        <v>31</v>
      </c>
      <c r="D9" s="9">
        <v>3</v>
      </c>
      <c r="E9" s="1">
        <v>2.76E-2</v>
      </c>
      <c r="F9" s="1">
        <f t="shared" si="0"/>
        <v>8.2799999999999999E-2</v>
      </c>
      <c r="G9" s="4">
        <f t="shared" si="1"/>
        <v>8.2799999999999994</v>
      </c>
      <c r="H9" s="8" t="s">
        <v>29</v>
      </c>
      <c r="I9" t="s">
        <v>30</v>
      </c>
      <c r="J9" t="s">
        <v>31</v>
      </c>
      <c r="K9" s="9">
        <v>3</v>
      </c>
      <c r="L9" s="1">
        <v>2.76E-2</v>
      </c>
      <c r="M9" s="1">
        <f t="shared" si="2"/>
        <v>8.2799999999999999E-2</v>
      </c>
      <c r="N9" s="4">
        <f t="shared" si="3"/>
        <v>8.2799999999999994</v>
      </c>
      <c r="O9" s="8" t="s">
        <v>29</v>
      </c>
      <c r="P9" t="s">
        <v>30</v>
      </c>
      <c r="Q9" t="s">
        <v>31</v>
      </c>
      <c r="S9">
        <v>3</v>
      </c>
      <c r="T9" s="1">
        <v>2.76E-2</v>
      </c>
      <c r="U9" s="1">
        <f>S9*T9</f>
        <v>8.2799999999999999E-2</v>
      </c>
      <c r="V9">
        <v>300</v>
      </c>
      <c r="W9" s="1">
        <v>2.76E-2</v>
      </c>
      <c r="X9" s="4">
        <f t="shared" si="4"/>
        <v>8.2799999999999994</v>
      </c>
      <c r="Y9" s="8" t="s">
        <v>29</v>
      </c>
      <c r="Z9" t="s">
        <v>30</v>
      </c>
      <c r="AA9" t="s">
        <v>31</v>
      </c>
      <c r="AC9">
        <v>3</v>
      </c>
      <c r="AD9" s="1">
        <v>2.76E-2</v>
      </c>
      <c r="AE9" s="1">
        <f>AC9*AD9</f>
        <v>8.2799999999999999E-2</v>
      </c>
      <c r="AF9">
        <v>300</v>
      </c>
      <c r="AG9" s="1">
        <v>2.76E-2</v>
      </c>
      <c r="AH9" s="4">
        <f t="shared" si="5"/>
        <v>8.2799999999999994</v>
      </c>
    </row>
    <row r="10" spans="1:34">
      <c r="A10" s="8" t="s">
        <v>32</v>
      </c>
      <c r="B10" t="s">
        <v>33</v>
      </c>
      <c r="C10" t="s">
        <v>34</v>
      </c>
      <c r="D10">
        <v>1</v>
      </c>
      <c r="E10" s="1">
        <v>7.4999999999999997E-3</v>
      </c>
      <c r="F10" s="1">
        <f t="shared" si="0"/>
        <v>7.4999999999999997E-3</v>
      </c>
      <c r="G10" s="4">
        <f t="shared" si="1"/>
        <v>0.75</v>
      </c>
      <c r="H10" s="8" t="s">
        <v>32</v>
      </c>
      <c r="I10" t="s">
        <v>33</v>
      </c>
      <c r="J10" t="s">
        <v>34</v>
      </c>
      <c r="K10">
        <v>1</v>
      </c>
      <c r="L10" s="1">
        <v>7.4999999999999997E-3</v>
      </c>
      <c r="M10" s="1">
        <f t="shared" si="2"/>
        <v>7.4999999999999997E-3</v>
      </c>
      <c r="N10" s="4">
        <f t="shared" si="3"/>
        <v>0.75</v>
      </c>
      <c r="O10" s="8" t="s">
        <v>32</v>
      </c>
      <c r="P10" t="s">
        <v>33</v>
      </c>
      <c r="Q10" t="s">
        <v>34</v>
      </c>
      <c r="S10">
        <v>1</v>
      </c>
      <c r="T10" s="1">
        <v>7.4999999999999997E-3</v>
      </c>
      <c r="U10" s="1">
        <f>S10*T10</f>
        <v>7.4999999999999997E-3</v>
      </c>
      <c r="V10">
        <v>100</v>
      </c>
      <c r="W10" s="1">
        <v>7.4999999999999997E-3</v>
      </c>
      <c r="X10" s="4">
        <f t="shared" si="4"/>
        <v>0.75</v>
      </c>
      <c r="Y10" s="8" t="s">
        <v>32</v>
      </c>
      <c r="Z10" t="s">
        <v>33</v>
      </c>
      <c r="AA10" t="s">
        <v>34</v>
      </c>
      <c r="AC10">
        <v>1</v>
      </c>
      <c r="AD10" s="1">
        <v>7.4999999999999997E-3</v>
      </c>
      <c r="AE10" s="1">
        <f>AC10*AD10</f>
        <v>7.4999999999999997E-3</v>
      </c>
      <c r="AF10">
        <v>100</v>
      </c>
      <c r="AG10" s="1">
        <v>7.4999999999999997E-3</v>
      </c>
      <c r="AH10" s="4">
        <f t="shared" si="5"/>
        <v>0.75</v>
      </c>
    </row>
    <row r="11" spans="1:34">
      <c r="A11" s="8"/>
      <c r="E11" s="1"/>
      <c r="F11" s="1">
        <f t="shared" si="0"/>
        <v>0</v>
      </c>
      <c r="G11" s="4">
        <f t="shared" si="1"/>
        <v>0</v>
      </c>
      <c r="H11" s="8"/>
      <c r="L11" s="1"/>
      <c r="M11" s="1">
        <f t="shared" si="2"/>
        <v>0</v>
      </c>
      <c r="N11" s="4">
        <f t="shared" si="3"/>
        <v>0</v>
      </c>
      <c r="O11" s="8"/>
      <c r="T11" s="1"/>
      <c r="U11" s="1"/>
      <c r="W11" s="1"/>
      <c r="X11" s="4"/>
      <c r="Y11" s="8"/>
      <c r="AD11" s="1"/>
      <c r="AE11" s="1"/>
      <c r="AG11" s="1"/>
      <c r="AH11" s="4"/>
    </row>
    <row r="12" spans="1:34">
      <c r="A12" s="8" t="s">
        <v>35</v>
      </c>
      <c r="C12" t="s">
        <v>36</v>
      </c>
      <c r="D12">
        <v>1</v>
      </c>
      <c r="E12" s="1">
        <v>0.96</v>
      </c>
      <c r="F12" s="1">
        <f t="shared" si="0"/>
        <v>0.96</v>
      </c>
      <c r="G12" s="4">
        <f t="shared" si="1"/>
        <v>96</v>
      </c>
      <c r="H12" s="8" t="s">
        <v>35</v>
      </c>
      <c r="J12" t="s">
        <v>36</v>
      </c>
      <c r="K12">
        <v>1</v>
      </c>
      <c r="L12" s="2">
        <v>1.86</v>
      </c>
      <c r="M12" s="1">
        <f t="shared" si="2"/>
        <v>1.86</v>
      </c>
      <c r="N12" s="4">
        <f t="shared" si="3"/>
        <v>186</v>
      </c>
      <c r="O12" s="8" t="s">
        <v>35</v>
      </c>
      <c r="Q12" t="s">
        <v>36</v>
      </c>
      <c r="R12" s="22" t="s">
        <v>37</v>
      </c>
      <c r="S12">
        <v>1</v>
      </c>
      <c r="T12" s="2">
        <v>1.86</v>
      </c>
      <c r="U12" s="1">
        <f>S12*T12</f>
        <v>1.86</v>
      </c>
      <c r="V12">
        <v>100</v>
      </c>
      <c r="W12" s="1">
        <v>0.99</v>
      </c>
      <c r="X12" s="4">
        <f t="shared" si="4"/>
        <v>99</v>
      </c>
      <c r="Y12" s="8" t="s">
        <v>35</v>
      </c>
      <c r="AA12" t="s">
        <v>36</v>
      </c>
      <c r="AB12" s="22" t="s">
        <v>37</v>
      </c>
      <c r="AC12">
        <v>1</v>
      </c>
      <c r="AD12" s="2">
        <v>1.86</v>
      </c>
      <c r="AE12" s="1">
        <f>AC12*AD12</f>
        <v>1.86</v>
      </c>
      <c r="AF12">
        <v>100</v>
      </c>
      <c r="AG12" s="1">
        <v>0.99</v>
      </c>
      <c r="AH12" s="4">
        <f t="shared" ref="AH12" si="6">AG12*AF12</f>
        <v>99</v>
      </c>
    </row>
    <row r="13" spans="1:34">
      <c r="A13" s="8"/>
      <c r="E13" s="1"/>
      <c r="F13" s="1">
        <f t="shared" si="0"/>
        <v>0</v>
      </c>
      <c r="G13" s="4">
        <f t="shared" si="1"/>
        <v>0</v>
      </c>
      <c r="H13" s="8"/>
      <c r="L13" s="1"/>
      <c r="M13" s="1">
        <f t="shared" si="2"/>
        <v>0</v>
      </c>
      <c r="N13" s="4">
        <f t="shared" si="3"/>
        <v>0</v>
      </c>
      <c r="O13" s="8"/>
      <c r="T13" s="1"/>
      <c r="U13" s="1"/>
      <c r="W13" s="1"/>
      <c r="X13" s="4"/>
      <c r="Y13" s="8"/>
      <c r="AD13" s="1"/>
      <c r="AE13" s="1"/>
      <c r="AG13" s="1"/>
      <c r="AH13" s="4"/>
    </row>
    <row r="14" spans="1:34">
      <c r="A14" s="8" t="s">
        <v>38</v>
      </c>
      <c r="B14" t="s">
        <v>39</v>
      </c>
      <c r="C14" t="s">
        <v>40</v>
      </c>
      <c r="D14">
        <v>2</v>
      </c>
      <c r="E14" s="1">
        <v>0.18099999999999999</v>
      </c>
      <c r="F14" s="1">
        <f t="shared" si="0"/>
        <v>0.36199999999999999</v>
      </c>
      <c r="G14" s="4">
        <f t="shared" si="1"/>
        <v>36.199999999999996</v>
      </c>
      <c r="H14" s="8" t="s">
        <v>38</v>
      </c>
      <c r="I14" t="s">
        <v>39</v>
      </c>
      <c r="J14" t="s">
        <v>40</v>
      </c>
      <c r="K14">
        <v>2</v>
      </c>
      <c r="L14" s="1">
        <v>0.18099999999999999</v>
      </c>
      <c r="M14" s="1">
        <f t="shared" si="2"/>
        <v>0.36199999999999999</v>
      </c>
      <c r="N14" s="4">
        <f t="shared" si="3"/>
        <v>36.199999999999996</v>
      </c>
      <c r="O14" s="8" t="s">
        <v>38</v>
      </c>
      <c r="P14" t="s">
        <v>39</v>
      </c>
      <c r="Q14" t="s">
        <v>40</v>
      </c>
      <c r="S14">
        <v>2</v>
      </c>
      <c r="T14" s="1">
        <v>0.18099999999999999</v>
      </c>
      <c r="U14" s="1">
        <f>S14*T14</f>
        <v>0.36199999999999999</v>
      </c>
      <c r="V14">
        <v>200</v>
      </c>
      <c r="W14" s="1">
        <v>0.18099999999999999</v>
      </c>
      <c r="X14" s="4">
        <f t="shared" si="4"/>
        <v>36.199999999999996</v>
      </c>
      <c r="Y14" s="8" t="s">
        <v>38</v>
      </c>
      <c r="Z14" t="s">
        <v>39</v>
      </c>
      <c r="AA14" t="s">
        <v>40</v>
      </c>
      <c r="AC14">
        <v>2</v>
      </c>
      <c r="AD14" s="1">
        <v>0.18099999999999999</v>
      </c>
      <c r="AE14" s="1">
        <f>AC14*AD14</f>
        <v>0.36199999999999999</v>
      </c>
      <c r="AF14">
        <v>200</v>
      </c>
      <c r="AG14" s="1">
        <v>0.18099999999999999</v>
      </c>
      <c r="AH14" s="4">
        <f t="shared" ref="AH14:AH15" si="7">AG14*AF14</f>
        <v>36.199999999999996</v>
      </c>
    </row>
    <row r="15" spans="1:34">
      <c r="A15" s="8"/>
      <c r="B15" t="s">
        <v>41</v>
      </c>
      <c r="C15" t="s">
        <v>42</v>
      </c>
      <c r="D15">
        <v>2</v>
      </c>
      <c r="E15" s="1">
        <v>0.217</v>
      </c>
      <c r="F15" s="1">
        <f t="shared" si="0"/>
        <v>0.434</v>
      </c>
      <c r="G15" s="4">
        <f t="shared" si="1"/>
        <v>43.4</v>
      </c>
      <c r="H15" s="8"/>
      <c r="I15" t="s">
        <v>41</v>
      </c>
      <c r="J15" t="s">
        <v>42</v>
      </c>
      <c r="K15">
        <v>2</v>
      </c>
      <c r="L15" s="1">
        <v>0.217</v>
      </c>
      <c r="M15" s="1">
        <f t="shared" si="2"/>
        <v>0.434</v>
      </c>
      <c r="N15" s="4">
        <f t="shared" si="3"/>
        <v>43.4</v>
      </c>
      <c r="O15" s="8"/>
      <c r="P15" t="s">
        <v>41</v>
      </c>
      <c r="Q15" t="s">
        <v>42</v>
      </c>
      <c r="S15">
        <v>2</v>
      </c>
      <c r="T15" s="1">
        <v>0.217</v>
      </c>
      <c r="U15" s="1">
        <f>S15*T15</f>
        <v>0.434</v>
      </c>
      <c r="V15">
        <v>200</v>
      </c>
      <c r="W15" s="1">
        <v>0.217</v>
      </c>
      <c r="X15" s="4">
        <f t="shared" si="4"/>
        <v>43.4</v>
      </c>
      <c r="Y15" s="8"/>
      <c r="Z15" t="s">
        <v>41</v>
      </c>
      <c r="AA15" t="s">
        <v>42</v>
      </c>
      <c r="AC15">
        <v>2</v>
      </c>
      <c r="AD15" s="1">
        <v>0.217</v>
      </c>
      <c r="AE15" s="1">
        <f>AC15*AD15</f>
        <v>0.434</v>
      </c>
      <c r="AF15">
        <v>200</v>
      </c>
      <c r="AG15" s="1">
        <v>0.217</v>
      </c>
      <c r="AH15" s="4">
        <f t="shared" si="7"/>
        <v>43.4</v>
      </c>
    </row>
    <row r="16" spans="1:34">
      <c r="A16" s="8"/>
      <c r="E16" s="1"/>
      <c r="F16" s="1">
        <f t="shared" si="0"/>
        <v>0</v>
      </c>
      <c r="G16" s="4">
        <f t="shared" si="1"/>
        <v>0</v>
      </c>
      <c r="H16" s="8"/>
      <c r="L16" s="1"/>
      <c r="M16" s="1">
        <f t="shared" si="2"/>
        <v>0</v>
      </c>
      <c r="N16" s="4">
        <f t="shared" si="3"/>
        <v>0</v>
      </c>
      <c r="O16" s="8"/>
      <c r="T16" s="1"/>
      <c r="U16" s="1"/>
      <c r="W16" s="1"/>
      <c r="X16" s="4"/>
      <c r="Y16" s="8"/>
      <c r="AD16" s="1"/>
      <c r="AE16" s="1"/>
      <c r="AG16" s="1"/>
      <c r="AH16" s="4"/>
    </row>
    <row r="17" spans="1:34">
      <c r="A17" s="8" t="s">
        <v>43</v>
      </c>
      <c r="C17" t="s">
        <v>44</v>
      </c>
      <c r="D17">
        <v>7</v>
      </c>
      <c r="E17" s="1">
        <v>0.161</v>
      </c>
      <c r="F17" s="1">
        <f t="shared" si="0"/>
        <v>1.127</v>
      </c>
      <c r="G17" s="4">
        <f t="shared" si="1"/>
        <v>112.7</v>
      </c>
      <c r="H17" s="8" t="s">
        <v>43</v>
      </c>
      <c r="J17" t="s">
        <v>44</v>
      </c>
      <c r="K17">
        <v>7</v>
      </c>
      <c r="L17" s="2">
        <v>0.65</v>
      </c>
      <c r="M17" s="1">
        <f t="shared" si="2"/>
        <v>4.55</v>
      </c>
      <c r="N17" s="4">
        <f t="shared" si="3"/>
        <v>455</v>
      </c>
      <c r="O17" s="8" t="s">
        <v>43</v>
      </c>
      <c r="Q17" t="s">
        <v>44</v>
      </c>
      <c r="R17" s="22" t="s">
        <v>45</v>
      </c>
      <c r="S17">
        <v>7</v>
      </c>
      <c r="T17" s="2">
        <v>0.65</v>
      </c>
      <c r="U17" s="1">
        <f>S17*T17</f>
        <v>4.55</v>
      </c>
      <c r="V17">
        <v>1000</v>
      </c>
      <c r="W17" s="1">
        <v>0.18</v>
      </c>
      <c r="X17" s="4">
        <f t="shared" si="4"/>
        <v>180</v>
      </c>
      <c r="Y17" s="8" t="s">
        <v>43</v>
      </c>
      <c r="AA17" t="s">
        <v>44</v>
      </c>
      <c r="AB17" s="22" t="s">
        <v>45</v>
      </c>
      <c r="AC17">
        <v>7</v>
      </c>
      <c r="AD17" s="2">
        <v>0.65</v>
      </c>
      <c r="AE17" s="1">
        <f>AC17*AD17</f>
        <v>4.55</v>
      </c>
      <c r="AF17">
        <v>1000</v>
      </c>
      <c r="AG17" s="1">
        <v>0.18</v>
      </c>
      <c r="AH17" s="4">
        <f t="shared" ref="AH17:AH19" si="8">AG17*AF17</f>
        <v>180</v>
      </c>
    </row>
    <row r="18" spans="1:34">
      <c r="A18" s="8" t="s">
        <v>46</v>
      </c>
      <c r="C18" t="s">
        <v>47</v>
      </c>
      <c r="D18">
        <v>7</v>
      </c>
      <c r="E18" s="1">
        <v>0.28000000000000003</v>
      </c>
      <c r="F18" s="1">
        <f t="shared" si="0"/>
        <v>1.9600000000000002</v>
      </c>
      <c r="G18" s="4">
        <f t="shared" si="1"/>
        <v>196.00000000000003</v>
      </c>
      <c r="H18" s="8" t="s">
        <v>46</v>
      </c>
      <c r="J18" t="s">
        <v>47</v>
      </c>
      <c r="K18">
        <v>7</v>
      </c>
      <c r="L18" s="2">
        <v>0.4</v>
      </c>
      <c r="M18" s="1">
        <f t="shared" si="2"/>
        <v>2.8000000000000003</v>
      </c>
      <c r="N18" s="4">
        <f t="shared" si="3"/>
        <v>280</v>
      </c>
      <c r="O18" s="8" t="s">
        <v>46</v>
      </c>
      <c r="Q18" t="s">
        <v>47</v>
      </c>
      <c r="R18" s="22" t="s">
        <v>48</v>
      </c>
      <c r="S18">
        <v>7</v>
      </c>
      <c r="T18" s="2">
        <v>0.4</v>
      </c>
      <c r="U18" s="1">
        <f>S18*T18</f>
        <v>2.8000000000000003</v>
      </c>
      <c r="V18">
        <v>1000</v>
      </c>
      <c r="W18" s="1">
        <v>0.57999999999999996</v>
      </c>
      <c r="X18" s="4">
        <f t="shared" si="4"/>
        <v>580</v>
      </c>
      <c r="Y18" s="8" t="s">
        <v>46</v>
      </c>
      <c r="AA18" t="s">
        <v>47</v>
      </c>
      <c r="AB18" s="22" t="s">
        <v>48</v>
      </c>
      <c r="AC18">
        <v>7</v>
      </c>
      <c r="AD18" s="2">
        <v>0.4</v>
      </c>
      <c r="AE18" s="1">
        <f>AC18*AD18</f>
        <v>2.8000000000000003</v>
      </c>
      <c r="AF18">
        <v>1000</v>
      </c>
      <c r="AG18" s="1">
        <v>0.57999999999999996</v>
      </c>
      <c r="AH18" s="4">
        <f t="shared" si="8"/>
        <v>580</v>
      </c>
    </row>
    <row r="19" spans="1:34">
      <c r="A19" s="8" t="s">
        <v>49</v>
      </c>
      <c r="C19" t="s">
        <v>50</v>
      </c>
      <c r="D19">
        <v>1</v>
      </c>
      <c r="E19" s="1">
        <v>0.14399999999999999</v>
      </c>
      <c r="F19" s="1">
        <f t="shared" si="0"/>
        <v>0.14399999999999999</v>
      </c>
      <c r="G19" s="4">
        <f t="shared" si="1"/>
        <v>14.399999999999999</v>
      </c>
      <c r="H19" s="8" t="s">
        <v>49</v>
      </c>
      <c r="J19" t="s">
        <v>50</v>
      </c>
      <c r="K19">
        <v>1</v>
      </c>
      <c r="L19" s="1">
        <v>0.14399999999999999</v>
      </c>
      <c r="M19" s="1">
        <f t="shared" si="2"/>
        <v>0.14399999999999999</v>
      </c>
      <c r="N19" s="4">
        <f t="shared" si="3"/>
        <v>14.399999999999999</v>
      </c>
      <c r="O19" s="8" t="s">
        <v>49</v>
      </c>
      <c r="Q19" t="s">
        <v>50</v>
      </c>
      <c r="S19">
        <v>1</v>
      </c>
      <c r="T19" s="1">
        <v>0.14399999999999999</v>
      </c>
      <c r="U19" s="1">
        <f>S19*T19</f>
        <v>0.14399999999999999</v>
      </c>
      <c r="V19">
        <v>100</v>
      </c>
      <c r="W19" s="1">
        <v>0.14399999999999999</v>
      </c>
      <c r="X19" s="4">
        <f t="shared" si="4"/>
        <v>14.399999999999999</v>
      </c>
      <c r="Y19" s="8" t="s">
        <v>49</v>
      </c>
      <c r="AA19" t="s">
        <v>50</v>
      </c>
      <c r="AC19">
        <v>1</v>
      </c>
      <c r="AD19" s="1">
        <v>0.14399999999999999</v>
      </c>
      <c r="AE19" s="1">
        <f>AC19*AD19</f>
        <v>0.14399999999999999</v>
      </c>
      <c r="AF19">
        <v>100</v>
      </c>
      <c r="AG19" s="1">
        <v>0.14399999999999999</v>
      </c>
      <c r="AH19" s="4">
        <f t="shared" si="8"/>
        <v>14.399999999999999</v>
      </c>
    </row>
    <row r="20" spans="1:34">
      <c r="A20" s="8"/>
      <c r="E20" s="1"/>
      <c r="F20" s="1">
        <f t="shared" si="0"/>
        <v>0</v>
      </c>
      <c r="G20" s="4">
        <f t="shared" si="1"/>
        <v>0</v>
      </c>
      <c r="H20" s="8"/>
      <c r="L20" s="1"/>
      <c r="M20" s="1">
        <f t="shared" si="2"/>
        <v>0</v>
      </c>
      <c r="N20" s="4">
        <f t="shared" si="3"/>
        <v>0</v>
      </c>
      <c r="O20" s="8"/>
      <c r="T20" s="1"/>
      <c r="U20" s="1"/>
      <c r="W20" s="1"/>
      <c r="X20" s="4"/>
      <c r="Y20" s="8"/>
      <c r="AD20" s="1"/>
      <c r="AE20" s="1"/>
      <c r="AG20" s="1"/>
      <c r="AH20" s="4"/>
    </row>
    <row r="21" spans="1:34">
      <c r="A21" s="8" t="s">
        <v>51</v>
      </c>
      <c r="C21" t="s">
        <v>52</v>
      </c>
      <c r="D21">
        <v>1</v>
      </c>
      <c r="E21" s="1">
        <v>0.53</v>
      </c>
      <c r="F21" s="1">
        <f t="shared" si="0"/>
        <v>0.53</v>
      </c>
      <c r="G21" s="4">
        <f t="shared" si="1"/>
        <v>53</v>
      </c>
      <c r="H21" s="8" t="s">
        <v>51</v>
      </c>
      <c r="J21" t="s">
        <v>52</v>
      </c>
      <c r="K21">
        <v>1</v>
      </c>
      <c r="L21" s="1">
        <v>0.53</v>
      </c>
      <c r="M21" s="1">
        <f t="shared" si="2"/>
        <v>0.53</v>
      </c>
      <c r="N21" s="4">
        <f t="shared" si="3"/>
        <v>53</v>
      </c>
      <c r="O21" s="8" t="s">
        <v>51</v>
      </c>
      <c r="Q21" t="s">
        <v>52</v>
      </c>
      <c r="S21">
        <v>1</v>
      </c>
      <c r="T21" s="1">
        <v>0.53</v>
      </c>
      <c r="U21" s="1">
        <f>S21*T21</f>
        <v>0.53</v>
      </c>
      <c r="V21">
        <v>100</v>
      </c>
      <c r="W21" s="1">
        <v>0.53</v>
      </c>
      <c r="X21" s="4">
        <f t="shared" si="4"/>
        <v>53</v>
      </c>
      <c r="Y21" s="8" t="s">
        <v>51</v>
      </c>
      <c r="AA21" t="s">
        <v>52</v>
      </c>
      <c r="AC21">
        <v>1</v>
      </c>
      <c r="AD21" s="1">
        <v>0.53</v>
      </c>
      <c r="AE21" s="1">
        <f>AC21*AD21</f>
        <v>0.53</v>
      </c>
      <c r="AF21">
        <v>100</v>
      </c>
      <c r="AG21" s="1">
        <v>0.53</v>
      </c>
      <c r="AH21" s="4">
        <f t="shared" ref="AH21:AH22" si="9">AG21*AF21</f>
        <v>53</v>
      </c>
    </row>
    <row r="22" spans="1:34">
      <c r="A22" s="8" t="s">
        <v>53</v>
      </c>
      <c r="C22" t="s">
        <v>54</v>
      </c>
      <c r="D22">
        <v>1</v>
      </c>
      <c r="E22" s="1">
        <v>0.25</v>
      </c>
      <c r="F22" s="1">
        <f t="shared" si="0"/>
        <v>0.25</v>
      </c>
      <c r="G22" s="4">
        <f t="shared" si="1"/>
        <v>25</v>
      </c>
      <c r="H22" s="8" t="s">
        <v>53</v>
      </c>
      <c r="J22" t="s">
        <v>54</v>
      </c>
      <c r="K22">
        <v>1</v>
      </c>
      <c r="L22" s="1">
        <v>0.25</v>
      </c>
      <c r="M22" s="1">
        <f t="shared" si="2"/>
        <v>0.25</v>
      </c>
      <c r="N22" s="4">
        <f t="shared" si="3"/>
        <v>25</v>
      </c>
      <c r="O22" s="8" t="s">
        <v>53</v>
      </c>
      <c r="Q22" t="s">
        <v>54</v>
      </c>
      <c r="S22">
        <v>1</v>
      </c>
      <c r="T22" s="1">
        <v>0.25</v>
      </c>
      <c r="U22" s="1">
        <f>S22*T22</f>
        <v>0.25</v>
      </c>
      <c r="V22">
        <v>100</v>
      </c>
      <c r="W22" s="1">
        <v>0.25</v>
      </c>
      <c r="X22" s="4">
        <f t="shared" si="4"/>
        <v>25</v>
      </c>
      <c r="Y22" s="8" t="s">
        <v>53</v>
      </c>
      <c r="AA22" t="s">
        <v>54</v>
      </c>
      <c r="AC22">
        <v>1</v>
      </c>
      <c r="AD22" s="1">
        <v>0.25</v>
      </c>
      <c r="AE22" s="1">
        <f>AC22*AD22</f>
        <v>0.25</v>
      </c>
      <c r="AF22">
        <v>100</v>
      </c>
      <c r="AG22" s="1">
        <v>0.25</v>
      </c>
      <c r="AH22" s="4">
        <f t="shared" si="9"/>
        <v>25</v>
      </c>
    </row>
    <row r="23" spans="1:34">
      <c r="A23" s="8"/>
      <c r="E23" s="1"/>
      <c r="F23" s="1">
        <f t="shared" si="0"/>
        <v>0</v>
      </c>
      <c r="G23" s="4">
        <f t="shared" si="1"/>
        <v>0</v>
      </c>
      <c r="H23" s="8"/>
      <c r="L23" s="1"/>
      <c r="M23" s="1">
        <f t="shared" si="2"/>
        <v>0</v>
      </c>
      <c r="N23" s="4">
        <f t="shared" si="3"/>
        <v>0</v>
      </c>
      <c r="O23" s="8"/>
      <c r="T23" s="1"/>
      <c r="U23" s="1"/>
      <c r="W23" s="1"/>
      <c r="X23" s="4"/>
      <c r="Y23" s="8"/>
      <c r="AD23" s="1"/>
      <c r="AE23" s="1"/>
      <c r="AG23" s="1"/>
      <c r="AH23" s="4"/>
    </row>
    <row r="24" spans="1:34">
      <c r="A24" s="8" t="s">
        <v>55</v>
      </c>
      <c r="C24" t="s">
        <v>56</v>
      </c>
      <c r="D24">
        <v>1</v>
      </c>
      <c r="E24" s="1">
        <v>0.08</v>
      </c>
      <c r="F24" s="1">
        <f t="shared" si="0"/>
        <v>0.08</v>
      </c>
      <c r="G24" s="4">
        <f t="shared" si="1"/>
        <v>8</v>
      </c>
      <c r="H24" s="8" t="s">
        <v>55</v>
      </c>
      <c r="J24" t="s">
        <v>56</v>
      </c>
      <c r="K24">
        <v>1</v>
      </c>
      <c r="L24" s="2">
        <v>0.16</v>
      </c>
      <c r="M24" s="1">
        <f t="shared" si="2"/>
        <v>0.16</v>
      </c>
      <c r="N24" s="4">
        <f t="shared" si="3"/>
        <v>16</v>
      </c>
      <c r="O24" s="8" t="s">
        <v>55</v>
      </c>
      <c r="Q24" t="s">
        <v>56</v>
      </c>
      <c r="R24" s="22" t="s">
        <v>57</v>
      </c>
      <c r="S24">
        <v>1</v>
      </c>
      <c r="T24" s="2">
        <v>0.16</v>
      </c>
      <c r="U24" s="1">
        <f>S24*T24</f>
        <v>0.16</v>
      </c>
      <c r="V24">
        <v>100</v>
      </c>
      <c r="W24" s="1">
        <v>0.08</v>
      </c>
      <c r="X24" s="4">
        <f t="shared" si="4"/>
        <v>8</v>
      </c>
      <c r="Y24" s="8" t="s">
        <v>55</v>
      </c>
      <c r="AA24" t="s">
        <v>56</v>
      </c>
      <c r="AB24" s="22" t="s">
        <v>57</v>
      </c>
      <c r="AC24">
        <v>1</v>
      </c>
      <c r="AD24" s="2">
        <v>0.16</v>
      </c>
      <c r="AE24" s="1">
        <f>AC24*AD24</f>
        <v>0.16</v>
      </c>
      <c r="AF24">
        <v>100</v>
      </c>
      <c r="AG24" s="1">
        <v>0.08</v>
      </c>
      <c r="AH24" s="4">
        <f t="shared" ref="AH24" si="10">AG24*AF24</f>
        <v>8</v>
      </c>
    </row>
    <row r="25" spans="1:34">
      <c r="A25" s="8"/>
      <c r="E25" s="1"/>
      <c r="F25" s="1">
        <f t="shared" si="0"/>
        <v>0</v>
      </c>
      <c r="G25" s="4">
        <f t="shared" si="1"/>
        <v>0</v>
      </c>
      <c r="H25" s="8"/>
      <c r="L25" s="1"/>
      <c r="M25" s="1">
        <f t="shared" si="2"/>
        <v>0</v>
      </c>
      <c r="N25" s="4">
        <f t="shared" si="3"/>
        <v>0</v>
      </c>
      <c r="O25" s="8"/>
      <c r="T25" s="1"/>
      <c r="U25" s="1"/>
      <c r="W25" s="1"/>
      <c r="X25" s="4"/>
      <c r="Y25" s="8"/>
      <c r="AD25" s="1"/>
      <c r="AE25" s="1"/>
      <c r="AG25" s="1"/>
      <c r="AH25" s="4"/>
    </row>
    <row r="26" spans="1:34" ht="16.5">
      <c r="A26" s="8" t="s">
        <v>58</v>
      </c>
      <c r="C26" s="9" t="s">
        <v>59</v>
      </c>
      <c r="D26">
        <v>1</v>
      </c>
      <c r="E26" s="1">
        <v>0.95230000000000004</v>
      </c>
      <c r="F26" s="1">
        <f t="shared" si="0"/>
        <v>0.95230000000000004</v>
      </c>
      <c r="G26" s="4">
        <f t="shared" si="1"/>
        <v>95.23</v>
      </c>
      <c r="H26" s="8" t="s">
        <v>58</v>
      </c>
      <c r="J26" s="9" t="s">
        <v>59</v>
      </c>
      <c r="K26">
        <v>1</v>
      </c>
      <c r="L26" s="1">
        <v>0.95230000000000004</v>
      </c>
      <c r="M26" s="1">
        <f t="shared" si="2"/>
        <v>0.95230000000000004</v>
      </c>
      <c r="N26" s="4">
        <f t="shared" si="3"/>
        <v>95.23</v>
      </c>
      <c r="O26" s="8" t="s">
        <v>58</v>
      </c>
      <c r="Q26" s="23" t="s">
        <v>60</v>
      </c>
      <c r="R26" s="22" t="s">
        <v>61</v>
      </c>
      <c r="S26">
        <v>1</v>
      </c>
      <c r="T26" s="2">
        <v>1.29</v>
      </c>
      <c r="U26" s="1">
        <f>S26*T26</f>
        <v>1.29</v>
      </c>
      <c r="V26">
        <v>100</v>
      </c>
      <c r="W26" s="1">
        <v>1.29</v>
      </c>
      <c r="X26" s="4">
        <f t="shared" si="4"/>
        <v>129</v>
      </c>
      <c r="Y26" s="8" t="s">
        <v>58</v>
      </c>
      <c r="AA26" t="s">
        <v>62</v>
      </c>
      <c r="AB26" s="22" t="s">
        <v>63</v>
      </c>
      <c r="AC26">
        <v>1</v>
      </c>
      <c r="AD26" s="2">
        <v>2.7</v>
      </c>
      <c r="AE26" s="1">
        <f>AC26*AD26</f>
        <v>2.7</v>
      </c>
      <c r="AF26">
        <v>100</v>
      </c>
      <c r="AG26" s="1">
        <v>1.95</v>
      </c>
      <c r="AH26" s="4">
        <f t="shared" ref="AH26" si="11">AG26*AF26</f>
        <v>195</v>
      </c>
    </row>
    <row r="27" spans="1:34">
      <c r="A27" s="8" t="s">
        <v>64</v>
      </c>
      <c r="B27" t="s">
        <v>65</v>
      </c>
      <c r="C27" s="10" t="s">
        <v>66</v>
      </c>
      <c r="D27">
        <v>1</v>
      </c>
      <c r="E27" s="1">
        <v>3.9E-2</v>
      </c>
      <c r="F27" s="1">
        <f t="shared" si="0"/>
        <v>3.9E-2</v>
      </c>
      <c r="G27" s="4">
        <f t="shared" si="1"/>
        <v>3.9</v>
      </c>
      <c r="H27" s="8" t="s">
        <v>64</v>
      </c>
      <c r="I27" t="s">
        <v>65</v>
      </c>
      <c r="J27" s="10" t="s">
        <v>66</v>
      </c>
      <c r="K27">
        <v>1</v>
      </c>
      <c r="L27" s="1">
        <v>3.9E-2</v>
      </c>
      <c r="M27" s="1">
        <f t="shared" si="2"/>
        <v>3.9E-2</v>
      </c>
      <c r="N27" s="4">
        <f t="shared" si="3"/>
        <v>3.9</v>
      </c>
      <c r="O27" s="8" t="s">
        <v>67</v>
      </c>
      <c r="P27" t="s">
        <v>68</v>
      </c>
      <c r="Q27">
        <v>744766904</v>
      </c>
      <c r="R27" s="32" t="s">
        <v>69</v>
      </c>
      <c r="S27">
        <v>1</v>
      </c>
      <c r="T27" s="1">
        <v>0.4</v>
      </c>
      <c r="U27" s="1">
        <f>S27*T27</f>
        <v>0.4</v>
      </c>
      <c r="V27">
        <v>100</v>
      </c>
      <c r="W27" s="1">
        <v>0.3</v>
      </c>
      <c r="X27" s="4">
        <f t="shared" si="4"/>
        <v>30</v>
      </c>
      <c r="Y27" s="8"/>
      <c r="AH27" s="3"/>
    </row>
    <row r="28" spans="1:34">
      <c r="A28" s="8" t="s">
        <v>70</v>
      </c>
      <c r="B28" t="s">
        <v>71</v>
      </c>
      <c r="C28" t="s">
        <v>72</v>
      </c>
      <c r="D28">
        <v>1</v>
      </c>
      <c r="E28" s="1">
        <v>0.16700000000000001</v>
      </c>
      <c r="F28" s="1">
        <f t="shared" si="0"/>
        <v>0.16700000000000001</v>
      </c>
      <c r="G28" s="4">
        <f t="shared" si="1"/>
        <v>16.7</v>
      </c>
      <c r="H28" s="8" t="s">
        <v>70</v>
      </c>
      <c r="I28" t="s">
        <v>71</v>
      </c>
      <c r="J28" t="s">
        <v>72</v>
      </c>
      <c r="K28">
        <v>1</v>
      </c>
      <c r="L28" s="1">
        <v>0.16700000000000001</v>
      </c>
      <c r="M28" s="1">
        <f t="shared" si="2"/>
        <v>0.16700000000000001</v>
      </c>
      <c r="N28" s="4">
        <f t="shared" si="3"/>
        <v>16.7</v>
      </c>
      <c r="O28" s="8" t="s">
        <v>73</v>
      </c>
      <c r="P28" t="s">
        <v>74</v>
      </c>
      <c r="S28">
        <v>1</v>
      </c>
      <c r="T28" s="1">
        <v>2.76E-2</v>
      </c>
      <c r="U28" s="1">
        <f>S28*T28</f>
        <v>2.76E-2</v>
      </c>
      <c r="V28">
        <v>100</v>
      </c>
      <c r="W28" s="2"/>
      <c r="X28" s="33"/>
      <c r="Y28" s="8"/>
      <c r="AH28" s="3"/>
    </row>
    <row r="29" spans="1:34" ht="15.75" thickBot="1">
      <c r="A29" s="11" t="s">
        <v>75</v>
      </c>
      <c r="B29" s="12"/>
      <c r="C29" s="12" t="s">
        <v>76</v>
      </c>
      <c r="D29" s="12">
        <v>1</v>
      </c>
      <c r="E29" s="13">
        <v>0.14599999999999999</v>
      </c>
      <c r="F29" s="13">
        <f t="shared" si="0"/>
        <v>0.14599999999999999</v>
      </c>
      <c r="G29" s="14">
        <f t="shared" si="1"/>
        <v>14.6</v>
      </c>
      <c r="H29" s="11" t="s">
        <v>75</v>
      </c>
      <c r="I29" s="12"/>
      <c r="J29" s="12" t="s">
        <v>76</v>
      </c>
      <c r="K29" s="12">
        <v>1</v>
      </c>
      <c r="L29" s="13">
        <v>0.14599999999999999</v>
      </c>
      <c r="M29" s="13">
        <f t="shared" si="2"/>
        <v>0.14599999999999999</v>
      </c>
      <c r="N29" s="14">
        <f t="shared" si="3"/>
        <v>14.6</v>
      </c>
      <c r="O29" s="8" t="s">
        <v>73</v>
      </c>
      <c r="P29" t="s">
        <v>77</v>
      </c>
      <c r="S29">
        <v>1</v>
      </c>
      <c r="T29" s="1">
        <v>2.76E-2</v>
      </c>
      <c r="U29" s="1">
        <f>S29*T29</f>
        <v>2.76E-2</v>
      </c>
      <c r="V29">
        <v>100</v>
      </c>
      <c r="W29" s="2"/>
      <c r="X29" s="33"/>
      <c r="Y29" s="8"/>
      <c r="AH29" s="3"/>
    </row>
    <row r="30" spans="1:34" ht="15.75" thickTop="1">
      <c r="A30" s="5"/>
      <c r="E30" s="1"/>
      <c r="F30" s="1"/>
      <c r="G30" s="19"/>
      <c r="H30" s="5"/>
      <c r="L30" s="1"/>
      <c r="M30" s="1"/>
      <c r="N30" s="19"/>
      <c r="O30" s="8" t="s">
        <v>78</v>
      </c>
      <c r="Q30" t="s">
        <v>79</v>
      </c>
      <c r="U30" s="1">
        <v>43.5</v>
      </c>
      <c r="V30">
        <v>100</v>
      </c>
      <c r="W30" s="1">
        <v>2.95</v>
      </c>
      <c r="X30" s="4">
        <f t="shared" si="4"/>
        <v>295</v>
      </c>
      <c r="Y30" s="8" t="s">
        <v>78</v>
      </c>
      <c r="AA30" t="s">
        <v>79</v>
      </c>
      <c r="AE30" s="1">
        <v>43.5</v>
      </c>
      <c r="AF30">
        <v>100</v>
      </c>
      <c r="AG30" s="1">
        <v>2.95</v>
      </c>
      <c r="AH30" s="4">
        <f t="shared" ref="AH30" si="12">AG30*AF30</f>
        <v>295</v>
      </c>
    </row>
    <row r="31" spans="1:34" ht="15.75" thickBot="1">
      <c r="A31" s="25" t="s">
        <v>80</v>
      </c>
      <c r="E31" s="1"/>
      <c r="F31" s="1" t="s">
        <v>81</v>
      </c>
      <c r="G31" s="14" t="s">
        <v>82</v>
      </c>
      <c r="H31" s="25" t="s">
        <v>80</v>
      </c>
      <c r="L31" s="1"/>
      <c r="M31" s="1" t="s">
        <v>81</v>
      </c>
      <c r="N31" s="14" t="s">
        <v>82</v>
      </c>
      <c r="O31" s="8"/>
      <c r="X31" s="3"/>
      <c r="Y31" s="8"/>
      <c r="AH31" s="3"/>
    </row>
    <row r="32" spans="1:34" ht="16.5" thickTop="1" thickBot="1">
      <c r="A32" s="15" t="s">
        <v>83</v>
      </c>
      <c r="B32" s="16"/>
      <c r="C32" s="17"/>
      <c r="D32" s="16"/>
      <c r="E32" s="18"/>
      <c r="F32" s="18">
        <f>SUM(F6:F31)</f>
        <v>8.8726000000000003</v>
      </c>
      <c r="G32" s="18">
        <f>SUM(G6:G31)</f>
        <v>887.26</v>
      </c>
      <c r="H32" s="15" t="s">
        <v>83</v>
      </c>
      <c r="I32" s="16"/>
      <c r="J32" s="17"/>
      <c r="K32" s="16"/>
      <c r="L32" s="18"/>
      <c r="M32" s="18">
        <f>SUM(M6:M31)</f>
        <v>14.2026</v>
      </c>
      <c r="N32" s="18">
        <f>SUM(N6:N31)</f>
        <v>1420.2600000000002</v>
      </c>
      <c r="O32" s="11"/>
      <c r="P32" s="12"/>
      <c r="Q32" s="12"/>
      <c r="R32" s="12"/>
      <c r="S32" s="12"/>
      <c r="T32" s="13"/>
      <c r="U32" s="13">
        <f>SUM(U6:U30)</f>
        <v>58.335499999999996</v>
      </c>
      <c r="V32" s="12"/>
      <c r="W32" s="24" t="s">
        <v>82</v>
      </c>
      <c r="X32" s="18">
        <f>SUM(X6:X30)</f>
        <v>1662.73</v>
      </c>
      <c r="Y32" s="11"/>
      <c r="Z32" s="12"/>
      <c r="AA32" s="12"/>
      <c r="AB32" s="12"/>
      <c r="AC32" s="12"/>
      <c r="AD32" s="13"/>
      <c r="AE32" s="13">
        <f>SUM(AE6:AE30)</f>
        <v>59.194299999999998</v>
      </c>
      <c r="AF32" s="12"/>
      <c r="AG32" s="24" t="s">
        <v>82</v>
      </c>
      <c r="AH32" s="18">
        <f>SUM(AH6:AH30)</f>
        <v>1698.73</v>
      </c>
    </row>
    <row r="33" spans="7:34" ht="16.5" thickTop="1" thickBot="1">
      <c r="G33" s="1"/>
      <c r="W33" s="11" t="s">
        <v>81</v>
      </c>
      <c r="X33" s="24">
        <f>X32/100</f>
        <v>16.627300000000002</v>
      </c>
      <c r="AG33" s="11" t="s">
        <v>81</v>
      </c>
      <c r="AH33" s="24">
        <f>AH32/100</f>
        <v>16.987300000000001</v>
      </c>
    </row>
    <row r="34" spans="7:34" ht="15.75" thickTop="1"/>
    <row r="36" spans="7:34" ht="15.75" thickBot="1">
      <c r="AA36" s="12"/>
    </row>
    <row r="37" spans="7:34" ht="15.75" thickTop="1"/>
  </sheetData>
  <mergeCells count="6">
    <mergeCell ref="Q3:U3"/>
    <mergeCell ref="Z2:AF2"/>
    <mergeCell ref="AA3:AE3"/>
    <mergeCell ref="A2:E2"/>
    <mergeCell ref="H2:L2"/>
    <mergeCell ref="P2:V2"/>
  </mergeCells>
  <hyperlinks>
    <hyperlink ref="R6" r:id="rId1" display="https://ch.farnell.com/microchip/pic32mm0064gpl020-i-ss/mcu-32bit-pic32-25mhz-ssop-20/dp/2610360?CMP=GRHB-OCTOPART" xr:uid="{00000000-0004-0000-0000-000000000000}"/>
    <hyperlink ref="R12" r:id="rId2" display="https://www.digikey.ch/en/products/detail/MC3419/3502-MC3419CT-ND/15292813?curr=usd&amp;utm_campaign=buynow&amp;utm_medium=aggregator&amp;utm_source=octopart" xr:uid="{00000000-0004-0000-0000-000001000000}"/>
    <hyperlink ref="R17" r:id="rId3" display="https://www.digikey.ch/en/products/detail/APT2012LSECK-J3-PRV/754-1935-1-ND/5177465?curr=chf&amp;utm_campaign=buynow&amp;utm_medium=aggregator&amp;utm_source=octopart" xr:uid="{00000000-0004-0000-0000-000002000000}"/>
    <hyperlink ref="R18" r:id="rId4" display="https://www.mouser.ch/ProductDetail/Panasonic/ERA-6AED561V?qs=MNPzkKEzRtSreMWvSlWHLQ%3D%3D" xr:uid="{00000000-0004-0000-0000-000003000000}"/>
    <hyperlink ref="R24" r:id="rId5" display="https://www.digikey.ch/en/products/detail/BAT54_R1_00001/3757-BAT54_R1_00001CT-ND/14661364?curr=chf&amp;utm_campaign=buynow&amp;utm_medium=aggregator&amp;utm_source=octopart" xr:uid="{00000000-0004-0000-0000-000004000000}"/>
    <hyperlink ref="R26" r:id="rId6" xr:uid="{00000000-0004-0000-0000-000005000000}"/>
    <hyperlink ref="R7" r:id="rId7" display="https://www.mouser.ch/ProductDetail/KEMET/C0805C104K5RAC7411?qs=jbRM9o5BbzPcVXF0wW9AYg%3D%3D" xr:uid="{00000000-0004-0000-0000-000006000000}"/>
    <hyperlink ref="AB6" r:id="rId8" display="https://ch.farnell.com/microchip/pic32mm0064gpl020-i-ss/mcu-32bit-pic32-25mhz-ssop-20/dp/2610360?CMP=GRHB-OCTOPART" xr:uid="{00000000-0004-0000-0000-000007000000}"/>
    <hyperlink ref="AB12" r:id="rId9" display="https://www.digikey.ch/en/products/detail/MC3419/3502-MC3419CT-ND/15292813?curr=usd&amp;utm_campaign=buynow&amp;utm_medium=aggregator&amp;utm_source=octopart" xr:uid="{00000000-0004-0000-0000-000008000000}"/>
    <hyperlink ref="AB17" r:id="rId10" display="https://www.digikey.ch/en/products/detail/APT2012LSECK-J3-PRV/754-1935-1-ND/5177465?curr=chf&amp;utm_campaign=buynow&amp;utm_medium=aggregator&amp;utm_source=octopart" xr:uid="{00000000-0004-0000-0000-000009000000}"/>
    <hyperlink ref="AB18" r:id="rId11" display="https://www.mouser.ch/ProductDetail/Panasonic/ERA-6AED561V?qs=MNPzkKEzRtSreMWvSlWHLQ%3D%3D" xr:uid="{00000000-0004-0000-0000-00000A000000}"/>
    <hyperlink ref="AB24" r:id="rId12" display="https://www.digikey.ch/en/products/detail/BAT54_R1_00001/3757-BAT54_R1_00001CT-ND/14661364?curr=chf&amp;utm_campaign=buynow&amp;utm_medium=aggregator&amp;utm_source=octopart" xr:uid="{00000000-0004-0000-0000-00000B000000}"/>
    <hyperlink ref="AB26" r:id="rId13" display="https://www.digikey.ch/fr/products/detail/torex-semiconductor-ltd/XCL102D303CR-G/7361180" xr:uid="{00000000-0004-0000-0000-00000C000000}"/>
    <hyperlink ref="AB7" r:id="rId14" display="https://www.mouser.ch/ProductDetail/KEMET/C0805C104K5RAC7411?qs=jbRM9o5BbzPcVXF0wW9AYg%3D%3D" xr:uid="{00000000-0004-0000-0000-00000D000000}"/>
    <hyperlink ref="R27" r:id="rId15" display="https://www.digikey.ch/fr/products/detail/w%C3%BCrth-elektronik/744766904/5353118" xr:uid="{00000000-0004-0000-0000-00000E000000}"/>
  </hyperlinks>
  <pageMargins left="0.7" right="0.7" top="0.75" bottom="0.75" header="0.3" footer="0.3"/>
  <pageSetup paperSize="9" orientation="portrait" r:id="rId1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7d2dec-4ece-4e20-a992-7fd9f36be7a3">
      <Terms xmlns="http://schemas.microsoft.com/office/infopath/2007/PartnerControls"/>
    </lcf76f155ced4ddcb4097134ff3c332f>
    <TaxCatchAll xmlns="4f59afc1-9a8a-4fb4-a375-c0d981ade2a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162CB43CF76245B11EFE89D6DF1917" ma:contentTypeVersion="15" ma:contentTypeDescription="Crée un document." ma:contentTypeScope="" ma:versionID="afb2206dc39ec0633df49de4a17c7ac3">
  <xsd:schema xmlns:xsd="http://www.w3.org/2001/XMLSchema" xmlns:xs="http://www.w3.org/2001/XMLSchema" xmlns:p="http://schemas.microsoft.com/office/2006/metadata/properties" xmlns:ns2="747d2dec-4ece-4e20-a992-7fd9f36be7a3" xmlns:ns3="4f59afc1-9a8a-4fb4-a375-c0d981ade2a0" targetNamespace="http://schemas.microsoft.com/office/2006/metadata/properties" ma:root="true" ma:fieldsID="eaf56d5592bf3275e3039b8f90dd2fb7" ns2:_="" ns3:_="">
    <xsd:import namespace="747d2dec-4ece-4e20-a992-7fd9f36be7a3"/>
    <xsd:import namespace="4f59afc1-9a8a-4fb4-a375-c0d981ade2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7d2dec-4ece-4e20-a992-7fd9f36be7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Balises d’images" ma:readOnly="false" ma:fieldId="{5cf76f15-5ced-4ddc-b409-7134ff3c332f}" ma:taxonomyMulti="true" ma:sspId="5cfe7824-1d92-4d19-9a43-1c93e0eb4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59afc1-9a8a-4fb4-a375-c0d981ade2a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85ee1c1-ced8-49b5-bc3f-dcb9ced85c6f}" ma:internalName="TaxCatchAll" ma:showField="CatchAllData" ma:web="4f59afc1-9a8a-4fb4-a375-c0d981ade2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3EECBAB-0214-42D2-9B38-15DDEF5362EC}"/>
</file>

<file path=customXml/itemProps2.xml><?xml version="1.0" encoding="utf-8"?>
<ds:datastoreItem xmlns:ds="http://schemas.openxmlformats.org/officeDocument/2006/customXml" ds:itemID="{297C7558-CBF9-440A-8EED-74AB7351D93E}"/>
</file>

<file path=customXml/itemProps3.xml><?xml version="1.0" encoding="utf-8"?>
<ds:datastoreItem xmlns:ds="http://schemas.openxmlformats.org/officeDocument/2006/customXml" ds:itemID="{257F6802-00D3-4DD7-A5B7-F9C9CD9058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N-Gajamukan Subramaniyam</cp:lastModifiedBy>
  <cp:revision/>
  <dcterms:created xsi:type="dcterms:W3CDTF">2015-06-05T18:19:34Z</dcterms:created>
  <dcterms:modified xsi:type="dcterms:W3CDTF">2022-06-29T11:31:57Z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0x010100A2162CB43CF76245B11EFE89D6DF1917</vt:lpwstr>
  </property>
  <property fmtid="{D5CDD505-2E9C-101B-9397-08002B2CF9AE}" pid="3" name="MediaServiceImageTags">
    <vt:lpwstr/>
  </property>
</Properties>
</file>