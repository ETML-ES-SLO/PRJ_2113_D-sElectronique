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21720" yWindow="3585" windowWidth="21840" windowHeight="13740" activeTab="1"/>
  </bookViews>
  <sheets>
    <sheet name="Graphique1" sheetId="2" r:id="rId1"/>
    <sheet name="Feuil1" sheetId="1" r:id="rId2"/>
  </sheets>
  <definedNames>
    <definedName name="_xlnm.Print_Area" localSheetId="1">Feuil1!$A$1:$G$93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3" i="1" l="1"/>
  <c r="E90" i="1"/>
  <c r="E89" i="1"/>
  <c r="E88" i="1" l="1"/>
  <c r="F88" i="1" s="1"/>
  <c r="E80" i="1" l="1"/>
  <c r="E79" i="1"/>
  <c r="E78" i="1"/>
  <c r="E76" i="1" l="1"/>
  <c r="E75" i="1"/>
  <c r="E74" i="1"/>
  <c r="E64" i="1" l="1"/>
  <c r="E63" i="1"/>
  <c r="E62" i="1"/>
  <c r="E52" i="1" l="1"/>
  <c r="E53" i="1"/>
  <c r="E47" i="1" l="1"/>
  <c r="E40" i="1" l="1"/>
  <c r="E39" i="1"/>
  <c r="E38" i="1" l="1"/>
  <c r="E37" i="1" l="1"/>
  <c r="E36" i="1" l="1"/>
  <c r="E35" i="1"/>
  <c r="E34" i="1" l="1"/>
  <c r="E33" i="1"/>
  <c r="E32" i="1" l="1"/>
  <c r="E31" i="1"/>
  <c r="E29" i="1" l="1"/>
  <c r="E28" i="1" l="1"/>
  <c r="E42" i="1" l="1"/>
  <c r="E43" i="1"/>
  <c r="E44" i="1"/>
  <c r="E45" i="1"/>
  <c r="E27" i="1"/>
  <c r="F42" i="1" l="1"/>
  <c r="E26" i="1"/>
  <c r="E25" i="1" l="1"/>
  <c r="E24" i="1" l="1"/>
  <c r="E23" i="1" l="1"/>
  <c r="E22" i="1" l="1"/>
  <c r="E21" i="1"/>
  <c r="E20" i="1"/>
  <c r="E19" i="1"/>
  <c r="E18" i="1"/>
  <c r="E17" i="1" l="1"/>
  <c r="E16" i="1" l="1"/>
  <c r="E15" i="1" l="1"/>
  <c r="E14" i="1" l="1"/>
  <c r="F18" i="1"/>
  <c r="E13" i="1"/>
  <c r="E12" i="1"/>
  <c r="E11" i="1"/>
  <c r="E10" i="1" l="1"/>
  <c r="E6" i="1" l="1"/>
  <c r="E8" i="1"/>
  <c r="E4" i="1"/>
  <c r="E5" i="1"/>
  <c r="E7" i="1"/>
  <c r="E92" i="1" l="1"/>
  <c r="E91" i="1"/>
  <c r="F91" i="1" l="1"/>
  <c r="E87" i="1" l="1"/>
  <c r="E85" i="1" l="1"/>
  <c r="E83" i="1" l="1"/>
  <c r="E82" i="1"/>
  <c r="E84" i="1"/>
  <c r="F84" i="1" s="1"/>
  <c r="E73" i="1" l="1"/>
  <c r="E69" i="1" l="1"/>
  <c r="E68" i="1"/>
  <c r="E67" i="1"/>
  <c r="E66" i="1"/>
  <c r="E65" i="1"/>
  <c r="E61" i="1"/>
  <c r="E60" i="1"/>
  <c r="E59" i="1"/>
  <c r="F66" i="1" l="1"/>
  <c r="F59" i="1"/>
  <c r="E58" i="1"/>
  <c r="E57" i="1"/>
  <c r="E56" i="1"/>
  <c r="E9" i="1" l="1"/>
  <c r="E50" i="1" l="1"/>
  <c r="F70" i="1" l="1"/>
  <c r="F35" i="1"/>
  <c r="F10" i="1" l="1"/>
  <c r="F23" i="1"/>
  <c r="F27" i="1"/>
  <c r="F31" i="1"/>
  <c r="F38" i="1"/>
  <c r="E46" i="1"/>
  <c r="E48" i="1"/>
  <c r="E49" i="1"/>
  <c r="F49" i="1" s="1"/>
  <c r="E51" i="1"/>
  <c r="E54" i="1"/>
  <c r="E55" i="1"/>
  <c r="F55" i="1" s="1"/>
  <c r="E70" i="1"/>
  <c r="E71" i="1"/>
  <c r="E72" i="1"/>
  <c r="F72" i="1" s="1"/>
  <c r="E77" i="1"/>
  <c r="F77" i="1" s="1"/>
  <c r="E81" i="1"/>
  <c r="F81" i="1" s="1"/>
  <c r="E86" i="1"/>
  <c r="F86" i="1" s="1"/>
  <c r="E93" i="1"/>
  <c r="E3" i="1"/>
  <c r="F46" i="1" l="1"/>
  <c r="F25" i="1"/>
  <c r="F51" i="1"/>
  <c r="F16" i="1"/>
  <c r="F3" i="1"/>
</calcChain>
</file>

<file path=xl/sharedStrings.xml><?xml version="1.0" encoding="utf-8"?>
<sst xmlns="http://schemas.openxmlformats.org/spreadsheetml/2006/main" count="143" uniqueCount="118">
  <si>
    <t>Dates</t>
  </si>
  <si>
    <t>Avancement</t>
  </si>
  <si>
    <t>de</t>
  </si>
  <si>
    <t>à</t>
  </si>
  <si>
    <t>total d'heures</t>
  </si>
  <si>
    <t>Reception du dossier et discussion</t>
  </si>
  <si>
    <t>total h/j</t>
  </si>
  <si>
    <t>Note</t>
  </si>
  <si>
    <t>Schéma bloc</t>
  </si>
  <si>
    <t>Documentation</t>
  </si>
  <si>
    <t>Recherche</t>
  </si>
  <si>
    <t>Journal de travail</t>
  </si>
  <si>
    <t>Total</t>
  </si>
  <si>
    <t>Recherche d'un accéléromètre</t>
  </si>
  <si>
    <t>élaboration planning</t>
  </si>
  <si>
    <t>Réflexion d'économie d'énergie LED</t>
  </si>
  <si>
    <t>Récupération des documents PDF et 
création des fichiers du projet</t>
  </si>
  <si>
    <t>Recherche d'une mise en série de 2 LED qui sont tjr 
allumées ensemble, contrôle alimentation de sortie micro et tension de fonctionnement des LEDs, (pas assez de tension de sortie Mu)</t>
  </si>
  <si>
    <t>Recherche d'accéléromètre disponible</t>
  </si>
  <si>
    <t>Recherche d'accéléromètre disponible à la commande 
(bonne disponibilité chez mouser uniquement)</t>
  </si>
  <si>
    <t>Recherche d'accéléromètre compatible</t>
  </si>
  <si>
    <t>Recherche dans les datasheet d'un accéléromètre qui soit utilisable (faible consommation en standbye, peu cher, 3 axes, configurable pour un réveil selon des accélération en 3 axes)</t>
  </si>
  <si>
    <t>Recherche microcontrôleur</t>
  </si>
  <si>
    <t>Recherche d'un microcontroleur utilisable et peu cher</t>
  </si>
  <si>
    <t>Recherche d'un interrupteur</t>
  </si>
  <si>
    <t>Recherche d'un éventuel interrupteur à ajouter peu cher</t>
  </si>
  <si>
    <t>Recherche de composants</t>
  </si>
  <si>
    <t>Recherche des composants généraux et recherche  d'un régulateur ou élévateur de tension de préférence montable à la main</t>
  </si>
  <si>
    <t>Recherche de composants et comparaison de prix pour choix du moins cher. Récupération et création des footprint et symbole. Comparaison entre régulateur et élévateur</t>
  </si>
  <si>
    <t>Recherche de composants
 symbole / footprint</t>
  </si>
  <si>
    <t>"</t>
  </si>
  <si>
    <t>Choix accéléromètre</t>
  </si>
  <si>
    <t>Recherche d'un accéléromètre de chez ST 
car une bonne documentation en support est founit par ce fabricant. Problème plus aucun accéléromètre dispo sauf 1 à 2 francs. Choix du MC3419</t>
  </si>
  <si>
    <t>Comparaison et choix du 
microcontrôleur</t>
  </si>
  <si>
    <t>Choix du microcontrôleur qui sera utilisé entre les 
différents micro de la sélection initiale</t>
  </si>
  <si>
    <t>Réunion avec le mâitre de diplôme</t>
  </si>
  <si>
    <t>Remplissage PC + doc</t>
  </si>
  <si>
    <t>Discussion d'un montage de protection de tension inverse
Choix de variante de montage, le step-up présélectionné n'est pas fait pour de la basse consommation, recherche de convertisseur, contrôle de l'utilisation possible et des courant de fonctionnement de l'accéléromètre. Choix de LED low power pour un minimum de consommation</t>
  </si>
  <si>
    <t>Recherche de composants selon discussion</t>
  </si>
  <si>
    <t>Recherche composants</t>
  </si>
  <si>
    <t>Recherche d'un MOSFET 0,7V max de VGSth
 pour entrer en conduction avec la perte de la diode shottky avec un peu plus d'1V d'alimentation de pile. Choix convertisseur boost et recherche des composants généraux</t>
  </si>
  <si>
    <t>Recherche d'un convertisseur avec peu 
de consommation de courant, ses composants et les composants généraux</t>
  </si>
  <si>
    <t>Schéma électrique (Création des symbole / footprint) et schéma</t>
  </si>
  <si>
    <t>Schéma électrique (Création des symbole / footprint) et schéma, Recherche de composants pour changer les composants plus dispo</t>
  </si>
  <si>
    <t>Faire le schéma</t>
  </si>
  <si>
    <t>Vérification de schéma</t>
  </si>
  <si>
    <t>Design PCB</t>
  </si>
  <si>
    <t>Design du PCB</t>
  </si>
  <si>
    <t>Vérification PCB</t>
  </si>
  <si>
    <t>Vérification PCB par un collègue</t>
  </si>
  <si>
    <t>Mise des template</t>
  </si>
  <si>
    <t>Template ES non présent, ajout des templates ES et création des fichiers avec template (PCB refait le copié collé ne marche pas)</t>
  </si>
  <si>
    <t>Rapport</t>
  </si>
  <si>
    <t>Réunion avec le maitre de diplôme</t>
  </si>
  <si>
    <t>Redimensionnement self et condo</t>
  </si>
  <si>
    <t>Recherche des calcul de dimensionnement, calcul self, condo de sortie</t>
  </si>
  <si>
    <t>Recherhce des composants à changer + schéma</t>
  </si>
  <si>
    <t>Recherche bouton, condo, self, calculs de comparaison des valeurs critiques et modification schéma</t>
  </si>
  <si>
    <t>Modification PCB</t>
  </si>
  <si>
    <t>Passage expert</t>
  </si>
  <si>
    <t>Présentation du projet et discussion de fonctionnalités, techniques et éventuelles améliorations</t>
  </si>
  <si>
    <t>Modifications PCB</t>
  </si>
  <si>
    <t>Recherche exemples microchip pour le pic MM</t>
  </si>
  <si>
    <t>Commande de composants</t>
  </si>
  <si>
    <t>Test kit MM</t>
  </si>
  <si>
    <t>Prise en main du Code configurator</t>
  </si>
  <si>
    <t>Modification de commande</t>
  </si>
  <si>
    <t>Rien trouvé chez microchip</t>
  </si>
  <si>
    <t>Retrait des composants présents en stock</t>
  </si>
  <si>
    <t>Recherche des registres utiles 
accéléromètre</t>
  </si>
  <si>
    <t>Création des fichiers accéléromètre / création des define utiles</t>
  </si>
  <si>
    <t>Recherche dans le datasheet des registres, adresse, fonctionnement SPI</t>
  </si>
  <si>
    <t>config accéléromètre</t>
  </si>
  <si>
    <t>Recherche des registres utiles, création des define</t>
  </si>
  <si>
    <t>Contrôle commande</t>
  </si>
  <si>
    <t>Contrôle des composants reçus</t>
  </si>
  <si>
    <t>Schéma</t>
  </si>
  <si>
    <t>Création des fonctions accéléromètre</t>
  </si>
  <si>
    <t>Configuration chip</t>
  </si>
  <si>
    <t>Configuration chip. Le main a une erreur à la génération et ne se fonctionne pas (l'erreur n'est pas connu pour le moment). Aucun message d'erreur n'apparait</t>
  </si>
  <si>
    <t>Brasage PCB diego</t>
  </si>
  <si>
    <t>Aide au brasage du PCB de M.Correia</t>
  </si>
  <si>
    <t>Erreur toujours non réglée</t>
  </si>
  <si>
    <t>aider diego à son montage PCB</t>
  </si>
  <si>
    <t>Montage accéléromètre</t>
  </si>
  <si>
    <t>Problème au passage au four, la pâte à brasé a durci mais pas fondu. Deuxième passage ok (modification température à atteindre et temps pour pour atteindre la consigne)</t>
  </si>
  <si>
    <t>Montage microcontrôleur et nettoyage carte</t>
  </si>
  <si>
    <t>Montage micro</t>
  </si>
  <si>
    <t>Montage des composant nécessaire au fonctionnement micro + accéléromètre</t>
  </si>
  <si>
    <t>Test fonctionnalité MPLABX</t>
  </si>
  <si>
    <t>Test si le problème du vendredi est toujours présent (toujours présent pour tout les fichiers)</t>
  </si>
  <si>
    <t>Configuration programme de test 
micro</t>
  </si>
  <si>
    <t>Test micro</t>
  </si>
  <si>
    <t>Refaire un câble adapté pour la connexion de programmation 
de la carte + programme de test et test du micro (test court-ciruit d'alimentation effectué avant)</t>
  </si>
  <si>
    <t>Test Timer et montage LED</t>
  </si>
  <si>
    <t>Modification du .h et création des fonctions</t>
  </si>
  <si>
    <t>Configuration accéléromètre</t>
  </si>
  <si>
    <t>Modif PCB</t>
  </si>
  <si>
    <t>Réunion avec le maître de diplôme</t>
  </si>
  <si>
    <t>Fonctionnement SPI</t>
  </si>
  <si>
    <t>Fonctionnement ok (arrive à lire le chip ID) Configuration du SPI en Idle:High, Active:Low, Idle to Active, Middle</t>
  </si>
  <si>
    <t>Assistance dépannage M.Correia</t>
  </si>
  <si>
    <t>Configuration des interruptions pour activation de la pin INT1 (pour le moment non fonctionnel)</t>
  </si>
  <si>
    <t>Test programme et rapport</t>
  </si>
  <si>
    <t>Test lecture et écriture des registres, test des configuration et des interruption de l'accéléromètre</t>
  </si>
  <si>
    <t>Montage de la partie alime et test</t>
  </si>
  <si>
    <t>Montage final de la carte et test</t>
  </si>
  <si>
    <t>Montage carte + test</t>
  </si>
  <si>
    <t>Test harware et modifications</t>
  </si>
  <si>
    <t>Test alime, ajout pull-down, test RC</t>
  </si>
  <si>
    <t>Test programme et interruption</t>
  </si>
  <si>
    <t>Test allumage des LEDS, détection de mouvement et signal INT1</t>
  </si>
  <si>
    <t>Config accéléromètre + timer</t>
  </si>
  <si>
    <t>Réunion avec maître de diplôme</t>
  </si>
  <si>
    <t>Mise au point de l'avacencement et résolution du problème de configuration de l'accéléromètre</t>
  </si>
  <si>
    <t>Configuration et avancement 
du programme</t>
  </si>
  <si>
    <t>Test alime + mesures</t>
  </si>
  <si>
    <t>Test RC + mesure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</si>
</sst>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h]:mm"/>
  </numFmts>
  <fonts count="1" x14ac:knownFonts="1">
    <font>
      <sz val="11"/>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0" fontId="0" fillId="0" borderId="0" xfId="0" applyFill="1" applyAlignment="1">
      <alignment horizontal="center" vertical="center"/>
    </xf>
    <xf numFmtId="0" fontId="0" fillId="0" borderId="1" xfId="0" applyBorder="1" applyAlignment="1">
      <alignment horizontal="center" vertical="center"/>
    </xf>
    <xf numFmtId="14" fontId="0" fillId="0" borderId="1" xfId="0" applyNumberFormat="1" applyFill="1" applyBorder="1" applyAlignment="1">
      <alignment horizontal="center" vertical="center"/>
    </xf>
    <xf numFmtId="0" fontId="0" fillId="0" borderId="0" xfId="0" applyFill="1" applyBorder="1" applyAlignment="1">
      <alignment horizontal="center" vertical="center"/>
    </xf>
    <xf numFmtId="20" fontId="0" fillId="0" borderId="1" xfId="0" applyNumberFormat="1" applyBorder="1" applyAlignment="1">
      <alignment horizontal="center" vertical="center"/>
    </xf>
    <xf numFmtId="14" fontId="0" fillId="2" borderId="1" xfId="0" applyNumberFormat="1" applyFill="1" applyBorder="1" applyAlignment="1">
      <alignment horizontal="center" vertical="center"/>
    </xf>
    <xf numFmtId="0" fontId="0" fillId="2" borderId="1" xfId="0" applyFill="1" applyBorder="1" applyAlignment="1">
      <alignment horizontal="center" vertical="center"/>
    </xf>
    <xf numFmtId="20" fontId="0" fillId="2"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20" fontId="0" fillId="3"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20" fontId="0" fillId="4" borderId="1" xfId="0" applyNumberFormat="1" applyFill="1" applyBorder="1" applyAlignment="1">
      <alignment horizontal="center" vertical="center"/>
    </xf>
    <xf numFmtId="0" fontId="0" fillId="0" borderId="1" xfId="0" applyFill="1" applyBorder="1" applyAlignment="1">
      <alignment horizontal="center" vertical="center"/>
    </xf>
    <xf numFmtId="20" fontId="0" fillId="0" borderId="1" xfId="0" applyNumberFormat="1" applyFill="1" applyBorder="1" applyAlignment="1">
      <alignment horizontal="center" vertical="center"/>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ont="1" applyAlignment="1">
      <alignment horizontal="center"/>
    </xf>
    <xf numFmtId="164" fontId="0" fillId="3" borderId="1" xfId="0" applyNumberFormat="1" applyFill="1" applyBorder="1" applyAlignment="1">
      <alignment horizontal="center" vertical="center"/>
    </xf>
    <xf numFmtId="164" fontId="0" fillId="0" borderId="1" xfId="0" applyNumberFormat="1" applyBorder="1" applyAlignment="1">
      <alignment horizontal="center" vertical="center"/>
    </xf>
    <xf numFmtId="164" fontId="0" fillId="4" borderId="1" xfId="0" applyNumberFormat="1" applyFill="1" applyBorder="1" applyAlignment="1">
      <alignment horizontal="center" vertical="center"/>
    </xf>
    <xf numFmtId="164" fontId="0" fillId="2" borderId="1" xfId="0" applyNumberFormat="1" applyFill="1" applyBorder="1" applyAlignment="1">
      <alignment horizontal="center" vertical="center"/>
    </xf>
    <xf numFmtId="164" fontId="0" fillId="0" borderId="1" xfId="0" applyNumberFormat="1" applyFill="1" applyBorder="1" applyAlignment="1">
      <alignment horizontal="center" vertical="center"/>
    </xf>
    <xf numFmtId="164" fontId="0" fillId="0" borderId="0" xfId="0" applyNumberFormat="1" applyAlignment="1">
      <alignment horizontal="center" vertical="center"/>
    </xf>
    <xf numFmtId="20" fontId="0" fillId="4" borderId="1" xfId="0" applyNumberFormat="1" applyFill="1" applyBorder="1" applyAlignment="1">
      <alignment horizontal="center" vertical="center" wrapText="1"/>
    </xf>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Feuil1!$G$2:$G$49</c:f>
              <c:strCache>
                <c:ptCount val="48"/>
                <c:pt idx="0">
                  <c:v>Note</c:v>
                </c:pt>
                <c:pt idx="5">
                  <c:v>Recherche d'une mise en série de 2 LED qui sont tjr 
allumées ensemble, contrôle alimentation de sortie micro et tension de fonctionnement des LEDs, (pas assez de tension de sortie Mu)</c:v>
                </c:pt>
                <c:pt idx="6">
                  <c:v>Recherche d'un accéléromètre</c:v>
                </c:pt>
                <c:pt idx="7">
                  <c:v>Journal de travail</c:v>
                </c:pt>
                <c:pt idx="8">
                  <c:v>Recherche d'accéléromètre disponible à la commande 
(bonne disponibilité chez mouser uniquement)</c:v>
                </c:pt>
                <c:pt idx="9">
                  <c:v>Recherche dans les datasheet d'un accéléromètre qui soit utilisable (faible consommation en standbye, peu cher, 3 axes, configurable pour un réveil selon des accélération en 3 axes)</c:v>
                </c:pt>
                <c:pt idx="10">
                  <c:v>Recherche d'un microcontroleur utilisable et peu cher</c:v>
                </c:pt>
                <c:pt idx="11">
                  <c:v>Recherche d'un éventuel interrupteur à ajouter peu cher</c:v>
                </c:pt>
                <c:pt idx="13">
                  <c:v>Recherche des composants généraux et recherche  d'un régulateur ou élévateur de tension de préférence montable à la main</c:v>
                </c:pt>
                <c:pt idx="14">
                  <c:v>Recherche de composants et comparaison de prix pour choix du moins cher. Récupération et création des footprint et symbole. Comparaison entre régulateur et élévateur</c:v>
                </c:pt>
                <c:pt idx="15">
                  <c:v>"</c:v>
                </c:pt>
                <c:pt idx="16">
                  <c:v>Recherche d'un accéléromètre de chez ST 
car une bonne documentation en support est founit par ce fabricant. Problème plus aucun accéléromètre dispo sauf 1 à 2 francs. Choix du MC3419</c:v>
                </c:pt>
                <c:pt idx="17">
                  <c:v>Choix du microcontrôleur qui sera utilisé entre les 
différents micro de la sélection initiale</c:v>
                </c:pt>
                <c:pt idx="18">
                  <c:v>Discussion d'un montage de protection de tension inverse
Choix de variante de montage, le step-up présélectionné n'est pas fait pour de la basse consommation, recherche de convertisseur, contrôle de l'utilisation possible et des courant de fonctionnement </c:v>
                </c:pt>
                <c:pt idx="20">
                  <c:v>Recherche de composants selon discussion</c:v>
                </c:pt>
                <c:pt idx="21">
                  <c:v>Recherche d'un MOSFET 0,7V max de VGSth
 pour entrer en conduction avec la perte de la diode shottky avec un peu plus d'1V d'alimentation de pile. Choix convertisseur boost et recherche des composants généraux</c:v>
                </c:pt>
                <c:pt idx="22">
                  <c:v>Recherche d'un convertisseur avec peu 
de consommation de courant, ses composants et les composants généraux</c:v>
                </c:pt>
                <c:pt idx="23">
                  <c:v>Schéma électrique (Création des symbole / footprint) et schéma</c:v>
                </c:pt>
                <c:pt idx="24">
                  <c:v>Schéma électrique (Création des symbole / footprint) et schéma, Recherche de composants pour changer les composants plus dispo</c:v>
                </c:pt>
                <c:pt idx="25">
                  <c:v>Faire le schéma</c:v>
                </c:pt>
                <c:pt idx="27">
                  <c:v>Design du PCB</c:v>
                </c:pt>
                <c:pt idx="29">
                  <c:v>Design PCB</c:v>
                </c:pt>
                <c:pt idx="30">
                  <c:v>Vérification PCB par un collègue</c:v>
                </c:pt>
                <c:pt idx="31">
                  <c:v>Template ES non présent, ajout des templates ES et création des fichiers avec template (PCB refait le copié collé ne marche pas)</c:v>
                </c:pt>
                <c:pt idx="35">
                  <c:v>Recherche des calcul de dimensionnement, calcul self, condo de sortie</c:v>
                </c:pt>
                <c:pt idx="36">
                  <c:v>Recherche bouton, condo, self, calculs de comparaison des valeurs critiques et modification schéma</c:v>
                </c:pt>
                <c:pt idx="38">
                  <c:v>Présentation du projet et discussion de fonctionnalités, techniques et éventuelles améliorations</c:v>
                </c:pt>
                <c:pt idx="40">
                  <c:v>Rien trouvé chez microchip</c:v>
                </c:pt>
                <c:pt idx="44">
                  <c:v>Retrait des composants présents en stock</c:v>
                </c:pt>
                <c:pt idx="47">
                  <c:v>Recherche dans le datasheet des registres, adresse, fonctionnement SPI</c:v>
                </c:pt>
              </c:strCache>
            </c:strRef>
          </c:tx>
          <c:spPr>
            <a:solidFill>
              <a:schemeClr val="accent1"/>
            </a:solidFill>
            <a:ln>
              <a:noFill/>
            </a:ln>
            <a:effectLst/>
          </c:spPr>
          <c:invertIfNegative val="0"/>
          <c:cat>
            <c:multiLvlStrRef>
              <c:f>Feuil1!$A$50:$F$93</c:f>
              <c:multiLvlStrCache>
                <c:ptCount val="44"/>
                <c:lvl>
                  <c:pt idx="1">
                    <c:v>6:20</c:v>
                  </c:pt>
                  <c:pt idx="5">
                    <c:v>6:20</c:v>
                  </c:pt>
                  <c:pt idx="9">
                    <c:v>6:25</c:v>
                  </c:pt>
                  <c:pt idx="16">
                    <c:v>6:25</c:v>
                  </c:pt>
                  <c:pt idx="20">
                    <c:v>0:00</c:v>
                  </c:pt>
                  <c:pt idx="22">
                    <c:v>6:05</c:v>
                  </c:pt>
                  <c:pt idx="27">
                    <c:v>6:25</c:v>
                  </c:pt>
                  <c:pt idx="31">
                    <c:v>6:25</c:v>
                  </c:pt>
                  <c:pt idx="34">
                    <c:v>6:50</c:v>
                  </c:pt>
                  <c:pt idx="36">
                    <c:v>6:30</c:v>
                  </c:pt>
                  <c:pt idx="38">
                    <c:v>6:55</c:v>
                  </c:pt>
                  <c:pt idx="41">
                    <c:v>8:50</c:v>
                  </c:pt>
                  <c:pt idx="43">
                    <c:v>155:00</c:v>
                  </c:pt>
                </c:lvl>
                <c:lvl>
                  <c:pt idx="0">
                    <c:v>03:25</c:v>
                  </c:pt>
                  <c:pt idx="1">
                    <c:v>03:05</c:v>
                  </c:pt>
                  <c:pt idx="2">
                    <c:v>00:20</c:v>
                  </c:pt>
                  <c:pt idx="3">
                    <c:v>01:20</c:v>
                  </c:pt>
                  <c:pt idx="4">
                    <c:v>01:35</c:v>
                  </c:pt>
                  <c:pt idx="5">
                    <c:v>03:15</c:v>
                  </c:pt>
                  <c:pt idx="6">
                    <c:v>00:50</c:v>
                  </c:pt>
                  <c:pt idx="7">
                    <c:v>01:40</c:v>
                  </c:pt>
                  <c:pt idx="8">
                    <c:v>00:35</c:v>
                  </c:pt>
                  <c:pt idx="9">
                    <c:v>01:15</c:v>
                  </c:pt>
                  <c:pt idx="10">
                    <c:v>02:30</c:v>
                  </c:pt>
                  <c:pt idx="11">
                    <c:v>00:45</c:v>
                  </c:pt>
                  <c:pt idx="12">
                    <c:v>00:25</c:v>
                  </c:pt>
                  <c:pt idx="13">
                    <c:v>00:15</c:v>
                  </c:pt>
                  <c:pt idx="14">
                    <c:v>00:55</c:v>
                  </c:pt>
                  <c:pt idx="15">
                    <c:v>00:20</c:v>
                  </c:pt>
                  <c:pt idx="16">
                    <c:v>00:50</c:v>
                  </c:pt>
                  <c:pt idx="17">
                    <c:v>00:40</c:v>
                  </c:pt>
                  <c:pt idx="18">
                    <c:v>02:30</c:v>
                  </c:pt>
                  <c:pt idx="19">
                    <c:v>02:25</c:v>
                  </c:pt>
                  <c:pt idx="20">
                    <c:v>04:15</c:v>
                  </c:pt>
                  <c:pt idx="21">
                    <c:v>02:05</c:v>
                  </c:pt>
                  <c:pt idx="22">
                    <c:v>01:10</c:v>
                  </c:pt>
                  <c:pt idx="23">
                    <c:v>00:45</c:v>
                  </c:pt>
                  <c:pt idx="24">
                    <c:v>01:25</c:v>
                  </c:pt>
                  <c:pt idx="25">
                    <c:v>01:10</c:v>
                  </c:pt>
                  <c:pt idx="26">
                    <c:v>01:35</c:v>
                  </c:pt>
                  <c:pt idx="27">
                    <c:v>02:15</c:v>
                  </c:pt>
                  <c:pt idx="28">
                    <c:v>00:30</c:v>
                  </c:pt>
                  <c:pt idx="29">
                    <c:v>00:55</c:v>
                  </c:pt>
                  <c:pt idx="30">
                    <c:v>02:45</c:v>
                  </c:pt>
                  <c:pt idx="31">
                    <c:v>03:00</c:v>
                  </c:pt>
                  <c:pt idx="32">
                    <c:v>01:50</c:v>
                  </c:pt>
                  <c:pt idx="33">
                    <c:v>01:35</c:v>
                  </c:pt>
                  <c:pt idx="34">
                    <c:v>04:15</c:v>
                  </c:pt>
                  <c:pt idx="35">
                    <c:v>02:35</c:v>
                  </c:pt>
                  <c:pt idx="36">
                    <c:v>03:05</c:v>
                  </c:pt>
                  <c:pt idx="37">
                    <c:v>03:25</c:v>
                  </c:pt>
                  <c:pt idx="38">
                    <c:v>02:50</c:v>
                  </c:pt>
                  <c:pt idx="39">
                    <c:v>01:50</c:v>
                  </c:pt>
                  <c:pt idx="40">
                    <c:v>02:15</c:v>
                  </c:pt>
                  <c:pt idx="41">
                    <c:v>03:25</c:v>
                  </c:pt>
                  <c:pt idx="42">
                    <c:v>05:25</c:v>
                  </c:pt>
                  <c:pt idx="43">
                    <c:v>00:00</c:v>
                  </c:pt>
                </c:lvl>
                <c:lvl>
                  <c:pt idx="0">
                    <c:v>16:35</c:v>
                  </c:pt>
                  <c:pt idx="1">
                    <c:v>11:50</c:v>
                  </c:pt>
                  <c:pt idx="2">
                    <c:v>13:40</c:v>
                  </c:pt>
                  <c:pt idx="3">
                    <c:v>15:00</c:v>
                  </c:pt>
                  <c:pt idx="4">
                    <c:v>16:35</c:v>
                  </c:pt>
                  <c:pt idx="5">
                    <c:v>12:00</c:v>
                  </c:pt>
                  <c:pt idx="6">
                    <c:v>14:00</c:v>
                  </c:pt>
                  <c:pt idx="7">
                    <c:v>15:40</c:v>
                  </c:pt>
                  <c:pt idx="8">
                    <c:v>16:35</c:v>
                  </c:pt>
                  <c:pt idx="9">
                    <c:v>10:00</c:v>
                  </c:pt>
                  <c:pt idx="10">
                    <c:v>12:30</c:v>
                  </c:pt>
                  <c:pt idx="11">
                    <c:v>14:15</c:v>
                  </c:pt>
                  <c:pt idx="12">
                    <c:v>14:40</c:v>
                  </c:pt>
                  <c:pt idx="13">
                    <c:v>14:55</c:v>
                  </c:pt>
                  <c:pt idx="14">
                    <c:v>16:15</c:v>
                  </c:pt>
                  <c:pt idx="15">
                    <c:v>16:35</c:v>
                  </c:pt>
                  <c:pt idx="16">
                    <c:v>09:35</c:v>
                  </c:pt>
                  <c:pt idx="17">
                    <c:v>10:30</c:v>
                  </c:pt>
                  <c:pt idx="18">
                    <c:v>13:00</c:v>
                  </c:pt>
                  <c:pt idx="19">
                    <c:v>16:35</c:v>
                  </c:pt>
                  <c:pt idx="20">
                    <c:v>13:00</c:v>
                  </c:pt>
                  <c:pt idx="21">
                    <c:v>16:35</c:v>
                  </c:pt>
                  <c:pt idx="22">
                    <c:v>09:45</c:v>
                  </c:pt>
                  <c:pt idx="23">
                    <c:v>10:30</c:v>
                  </c:pt>
                  <c:pt idx="24">
                    <c:v>11:55</c:v>
                  </c:pt>
                  <c:pt idx="25">
                    <c:v>14:30</c:v>
                  </c:pt>
                  <c:pt idx="26">
                    <c:v>16:35</c:v>
                  </c:pt>
                  <c:pt idx="27">
                    <c:v>11:00</c:v>
                  </c:pt>
                  <c:pt idx="28">
                    <c:v>11:30</c:v>
                  </c:pt>
                  <c:pt idx="29">
                    <c:v>12:40</c:v>
                  </c:pt>
                  <c:pt idx="30">
                    <c:v>16:35</c:v>
                  </c:pt>
                  <c:pt idx="31">
                    <c:v>11:35</c:v>
                  </c:pt>
                  <c:pt idx="32">
                    <c:v>15:00</c:v>
                  </c:pt>
                  <c:pt idx="33">
                    <c:v>16:35</c:v>
                  </c:pt>
                  <c:pt idx="34">
                    <c:v>13:00</c:v>
                  </c:pt>
                  <c:pt idx="35">
                    <c:v>16:35</c:v>
                  </c:pt>
                  <c:pt idx="36">
                    <c:v>11:50</c:v>
                  </c:pt>
                  <c:pt idx="37">
                    <c:v>16:35</c:v>
                  </c:pt>
                  <c:pt idx="38">
                    <c:v>11:35</c:v>
                  </c:pt>
                  <c:pt idx="39">
                    <c:v>15:00</c:v>
                  </c:pt>
                  <c:pt idx="40">
                    <c:v>17:35</c:v>
                  </c:pt>
                  <c:pt idx="41">
                    <c:v>12:00</c:v>
                  </c:pt>
                  <c:pt idx="42">
                    <c:v>18:35</c:v>
                  </c:pt>
                </c:lvl>
                <c:lvl>
                  <c:pt idx="0">
                    <c:v>13:10</c:v>
                  </c:pt>
                  <c:pt idx="1">
                    <c:v>08:45</c:v>
                  </c:pt>
                  <c:pt idx="2">
                    <c:v>13:20</c:v>
                  </c:pt>
                  <c:pt idx="3">
                    <c:v>13:40</c:v>
                  </c:pt>
                  <c:pt idx="4">
                    <c:v>15:00</c:v>
                  </c:pt>
                  <c:pt idx="5">
                    <c:v>08:45</c:v>
                  </c:pt>
                  <c:pt idx="6">
                    <c:v>13:10</c:v>
                  </c:pt>
                  <c:pt idx="7">
                    <c:v>14:00</c:v>
                  </c:pt>
                  <c:pt idx="8">
                    <c:v>16:00</c:v>
                  </c:pt>
                  <c:pt idx="9">
                    <c:v>08:45</c:v>
                  </c:pt>
                  <c:pt idx="10">
                    <c:v>10:00</c:v>
                  </c:pt>
                  <c:pt idx="11">
                    <c:v>13:30</c:v>
                  </c:pt>
                  <c:pt idx="12">
                    <c:v>14:15</c:v>
                  </c:pt>
                  <c:pt idx="13">
                    <c:v>14:40</c:v>
                  </c:pt>
                  <c:pt idx="14">
                    <c:v>15:20</c:v>
                  </c:pt>
                  <c:pt idx="15">
                    <c:v>16:15</c:v>
                  </c:pt>
                  <c:pt idx="16">
                    <c:v>08:45</c:v>
                  </c:pt>
                  <c:pt idx="17">
                    <c:v>09:50</c:v>
                  </c:pt>
                  <c:pt idx="18">
                    <c:v>10:30</c:v>
                  </c:pt>
                  <c:pt idx="19">
                    <c:v>14:10</c:v>
                  </c:pt>
                  <c:pt idx="20">
                    <c:v>08:45</c:v>
                  </c:pt>
                  <c:pt idx="21">
                    <c:v>14:30</c:v>
                  </c:pt>
                  <c:pt idx="22">
                    <c:v>08:35</c:v>
                  </c:pt>
                  <c:pt idx="23">
                    <c:v>09:45</c:v>
                  </c:pt>
                  <c:pt idx="24">
                    <c:v>10:30</c:v>
                  </c:pt>
                  <c:pt idx="25">
                    <c:v>13:20</c:v>
                  </c:pt>
                  <c:pt idx="26">
                    <c:v>15:00</c:v>
                  </c:pt>
                  <c:pt idx="27">
                    <c:v>08:45</c:v>
                  </c:pt>
                  <c:pt idx="28">
                    <c:v>11:00</c:v>
                  </c:pt>
                  <c:pt idx="29">
                    <c:v>11:45</c:v>
                  </c:pt>
                  <c:pt idx="30">
                    <c:v>13:50</c:v>
                  </c:pt>
                  <c:pt idx="31">
                    <c:v>08:35</c:v>
                  </c:pt>
                  <c:pt idx="32">
                    <c:v>13:10</c:v>
                  </c:pt>
                  <c:pt idx="33">
                    <c:v>15:00</c:v>
                  </c:pt>
                  <c:pt idx="34">
                    <c:v>08:45</c:v>
                  </c:pt>
                  <c:pt idx="35">
                    <c:v>14:00</c:v>
                  </c:pt>
                  <c:pt idx="36">
                    <c:v>08:45</c:v>
                  </c:pt>
                  <c:pt idx="37">
                    <c:v>13:10</c:v>
                  </c:pt>
                  <c:pt idx="38">
                    <c:v>08:45</c:v>
                  </c:pt>
                  <c:pt idx="39">
                    <c:v>13:10</c:v>
                  </c:pt>
                  <c:pt idx="40">
                    <c:v>15:20</c:v>
                  </c:pt>
                  <c:pt idx="41">
                    <c:v>08:35</c:v>
                  </c:pt>
                  <c:pt idx="42">
                    <c:v>13:10</c:v>
                  </c:pt>
                </c:lvl>
                <c:lvl>
                  <c:pt idx="0">
                    <c:v>Rapport</c:v>
                  </c:pt>
                  <c:pt idx="1">
                    <c:v>config accéléromètre</c:v>
                  </c:pt>
                  <c:pt idx="2">
                    <c:v>Contrôle commande</c:v>
                  </c:pt>
                  <c:pt idx="3">
                    <c:v>Réunion avec le mâitre de diplôme</c:v>
                  </c:pt>
                  <c:pt idx="4">
                    <c:v>Création des fonctions accéléromètre</c:v>
                  </c:pt>
                  <c:pt idx="5">
                    <c:v>Configuration chip</c:v>
                  </c:pt>
                  <c:pt idx="6">
                    <c:v>Brasage PCB diego</c:v>
                  </c:pt>
                  <c:pt idx="7">
                    <c:v>Configuration chip</c:v>
                  </c:pt>
                  <c:pt idx="8">
                    <c:v>Rapport</c:v>
                  </c:pt>
                  <c:pt idx="9">
                    <c:v>aider diego à son montage PCB</c:v>
                  </c:pt>
                  <c:pt idx="10">
                    <c:v>Montage accéléromètre</c:v>
                  </c:pt>
                  <c:pt idx="11">
                    <c:v>Montage micro</c:v>
                  </c:pt>
                  <c:pt idx="12">
                    <c:v>Montage des composant nécessaire au fonctionnement micro + accéléromètre</c:v>
                  </c:pt>
                  <c:pt idx="13">
                    <c:v>Test fonctionnalité MPLABX</c:v>
                  </c:pt>
                  <c:pt idx="14">
                    <c:v>Configuration programme de test 
micro</c:v>
                  </c:pt>
                  <c:pt idx="15">
                    <c:v>Rapport</c:v>
                  </c:pt>
                  <c:pt idx="16">
                    <c:v>Test micro</c:v>
                  </c:pt>
                  <c:pt idx="17">
                    <c:v>Test Timer et montage LED</c:v>
                  </c:pt>
                  <c:pt idx="18">
                    <c:v>Création des fonctions accéléromètre</c:v>
                  </c:pt>
                  <c:pt idx="19">
                    <c:v>Création des fonctions accéléromètre</c:v>
                  </c:pt>
                  <c:pt idx="20">
                    <c:v>Configuration accéléromètre</c:v>
                  </c:pt>
                  <c:pt idx="21">
                    <c:v>Configuration accéléromètre</c:v>
                  </c:pt>
                  <c:pt idx="22">
                    <c:v>Configuration accéléromètre</c:v>
                  </c:pt>
                  <c:pt idx="23">
                    <c:v>Passage expert</c:v>
                  </c:pt>
                  <c:pt idx="24">
                    <c:v>Modif PCB</c:v>
                  </c:pt>
                  <c:pt idx="25">
                    <c:v>Réunion avec le maître de diplôme</c:v>
                  </c:pt>
                  <c:pt idx="26">
                    <c:v>Rapport</c:v>
                  </c:pt>
                  <c:pt idx="27">
                    <c:v>Fonctionnement SPI</c:v>
                  </c:pt>
                  <c:pt idx="28">
                    <c:v>Assistance dépannage M.Correia</c:v>
                  </c:pt>
                  <c:pt idx="29">
                    <c:v>Configuration accéléromètre</c:v>
                  </c:pt>
                  <c:pt idx="30">
                    <c:v>Configuration accéléromètre</c:v>
                  </c:pt>
                  <c:pt idx="31">
                    <c:v>Test programme et rapport</c:v>
                  </c:pt>
                  <c:pt idx="32">
                    <c:v>Test programme et rapport</c:v>
                  </c:pt>
                  <c:pt idx="33">
                    <c:v>Montage de la partie alime et test</c:v>
                  </c:pt>
                  <c:pt idx="34">
                    <c:v>Montage carte + test</c:v>
                  </c:pt>
                  <c:pt idx="35">
                    <c:v>Test harware et modifications</c:v>
                  </c:pt>
                  <c:pt idx="36">
                    <c:v>Test programme et interruption</c:v>
                  </c:pt>
                  <c:pt idx="37">
                    <c:v>Test programme et interruption</c:v>
                  </c:pt>
                  <c:pt idx="38">
                    <c:v>Config accéléromètre + timer</c:v>
                  </c:pt>
                  <c:pt idx="39">
                    <c:v>Réunion avec maître de diplôme</c:v>
                  </c:pt>
                  <c:pt idx="40">
                    <c:v>Configuration et avancement 
du programme</c:v>
                  </c:pt>
                  <c:pt idx="41">
                    <c:v>Test alime + mesures</c:v>
                  </c:pt>
                  <c:pt idx="42">
                    <c:v>Test RC + mesure</c:v>
                  </c:pt>
                </c:lvl>
                <c:lvl>
                  <c:pt idx="1">
                    <c:v>21.10.2021</c:v>
                  </c:pt>
                  <c:pt idx="5">
                    <c:v>22.10.2021</c:v>
                  </c:pt>
                  <c:pt idx="9">
                    <c:v>25.10.2021</c:v>
                  </c:pt>
                  <c:pt idx="16">
                    <c:v>26.10.2021</c:v>
                  </c:pt>
                  <c:pt idx="20">
                    <c:v>27.10.2021</c:v>
                  </c:pt>
                  <c:pt idx="22">
                    <c:v>28.10.2021</c:v>
                  </c:pt>
                  <c:pt idx="27">
                    <c:v>29.10.2021</c:v>
                  </c:pt>
                  <c:pt idx="31">
                    <c:v>01.11.2021</c:v>
                  </c:pt>
                  <c:pt idx="34">
                    <c:v>02.11.2021</c:v>
                  </c:pt>
                  <c:pt idx="36">
                    <c:v>03.11.2021</c:v>
                  </c:pt>
                  <c:pt idx="38">
                    <c:v>04.11.2021</c:v>
                  </c:pt>
                  <c:pt idx="41">
                    <c:v>05.11.2021</c:v>
                  </c:pt>
                  <c:pt idx="43">
                    <c:v>Total</c:v>
                  </c:pt>
                </c:lvl>
              </c:multiLvlStrCache>
            </c:multiLvlStrRef>
          </c:cat>
          <c:val>
            <c:numRef>
              <c:f>Feuil1!$G$50:$G$93</c:f>
              <c:numCache>
                <c:formatCode>General</c:formatCode>
                <c:ptCount val="44"/>
                <c:pt idx="1">
                  <c:v>0</c:v>
                </c:pt>
                <c:pt idx="2">
                  <c:v>0</c:v>
                </c:pt>
                <c:pt idx="5">
                  <c:v>0</c:v>
                </c:pt>
                <c:pt idx="6">
                  <c:v>0</c:v>
                </c:pt>
                <c:pt idx="7">
                  <c:v>0</c:v>
                </c:pt>
                <c:pt idx="10">
                  <c:v>0</c:v>
                </c:pt>
                <c:pt idx="11">
                  <c:v>0</c:v>
                </c:pt>
                <c:pt idx="13">
                  <c:v>0</c:v>
                </c:pt>
                <c:pt idx="16" formatCode="m/d/yyyy">
                  <c:v>0</c:v>
                </c:pt>
                <c:pt idx="18" formatCode="m/d/yyyy">
                  <c:v>0</c:v>
                </c:pt>
                <c:pt idx="27">
                  <c:v>0</c:v>
                </c:pt>
                <c:pt idx="30">
                  <c:v>0</c:v>
                </c:pt>
                <c:pt idx="31">
                  <c:v>0</c:v>
                </c:pt>
                <c:pt idx="34">
                  <c:v>0</c:v>
                </c:pt>
                <c:pt idx="35">
                  <c:v>0</c:v>
                </c:pt>
                <c:pt idx="36">
                  <c:v>0</c:v>
                </c:pt>
                <c:pt idx="39">
                  <c:v>0</c:v>
                </c:pt>
              </c:numCache>
            </c:numRef>
          </c:val>
          <c:extLst>
            <c:ext xmlns:c16="http://schemas.microsoft.com/office/drawing/2014/chart" uri="{C3380CC4-5D6E-409C-BE32-E72D297353CC}">
              <c16:uniqueId val="{00000000-4420-4496-B370-9A84670C407F}"/>
            </c:ext>
          </c:extLst>
        </c:ser>
        <c:dLbls>
          <c:showLegendKey val="0"/>
          <c:showVal val="0"/>
          <c:showCatName val="0"/>
          <c:showSerName val="0"/>
          <c:showPercent val="0"/>
          <c:showBubbleSize val="0"/>
        </c:dLbls>
        <c:gapWidth val="219"/>
        <c:overlap val="-27"/>
        <c:axId val="439660640"/>
        <c:axId val="439660968"/>
      </c:barChart>
      <c:catAx>
        <c:axId val="43966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9660968"/>
        <c:crosses val="autoZero"/>
        <c:auto val="1"/>
        <c:lblAlgn val="ctr"/>
        <c:lblOffset val="100"/>
        <c:noMultiLvlLbl val="0"/>
      </c:catAx>
      <c:valAx>
        <c:axId val="439660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9660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2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308171" cy="6078963"/>
    <xdr:graphicFrame macro="">
      <xdr:nvGraphicFramePr>
        <xdr:cNvPr id="2" name="Graphique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121"/>
  <sheetViews>
    <sheetView tabSelected="1" view="pageBreakPreview" topLeftCell="A81" zoomScale="115" zoomScaleNormal="115" zoomScaleSheetLayoutView="115" workbookViewId="0">
      <selection activeCell="G94" sqref="G94"/>
    </sheetView>
  </sheetViews>
  <sheetFormatPr baseColWidth="10" defaultColWidth="14.28515625" defaultRowHeight="15" x14ac:dyDescent="0.25"/>
  <cols>
    <col min="1" max="1" width="14.28515625" style="1"/>
    <col min="2" max="2" width="34.140625" style="1" bestFit="1" customWidth="1"/>
    <col min="3" max="4" width="10.7109375" style="1" customWidth="1"/>
    <col min="5" max="5" width="14.28515625" style="1"/>
    <col min="6" max="6" width="10.7109375" style="28" customWidth="1"/>
    <col min="7" max="7" width="56.140625" style="1" bestFit="1" customWidth="1"/>
    <col min="8" max="16384" width="14.28515625" style="1"/>
  </cols>
  <sheetData>
    <row r="2" spans="1:22" x14ac:dyDescent="0.25">
      <c r="A2" s="11" t="s">
        <v>0</v>
      </c>
      <c r="B2" s="11" t="s">
        <v>1</v>
      </c>
      <c r="C2" s="11" t="s">
        <v>2</v>
      </c>
      <c r="D2" s="11" t="s">
        <v>3</v>
      </c>
      <c r="E2" s="11" t="s">
        <v>4</v>
      </c>
      <c r="F2" s="23" t="s">
        <v>6</v>
      </c>
      <c r="G2" s="11" t="s">
        <v>7</v>
      </c>
    </row>
    <row r="3" spans="1:22" x14ac:dyDescent="0.25">
      <c r="A3" s="4">
        <v>44473</v>
      </c>
      <c r="B3" s="3" t="s">
        <v>5</v>
      </c>
      <c r="C3" s="6">
        <v>0.41666666666666669</v>
      </c>
      <c r="D3" s="6">
        <v>0.47222222222222227</v>
      </c>
      <c r="E3" s="6">
        <f>D3-C3</f>
        <v>5.555555555555558E-2</v>
      </c>
      <c r="F3" s="24">
        <f>SUM(E3:E9)</f>
        <v>0.20833333333333337</v>
      </c>
      <c r="G3" s="6"/>
    </row>
    <row r="4" spans="1:22" ht="30" x14ac:dyDescent="0.25">
      <c r="A4" s="4"/>
      <c r="B4" s="18" t="s">
        <v>16</v>
      </c>
      <c r="C4" s="6">
        <v>0.47222222222222227</v>
      </c>
      <c r="D4" s="6">
        <v>0.4826388888888889</v>
      </c>
      <c r="E4" s="6">
        <f t="shared" ref="E4:E6" si="0">D4-C4</f>
        <v>1.041666666666663E-2</v>
      </c>
      <c r="F4" s="24"/>
      <c r="G4" s="3"/>
    </row>
    <row r="5" spans="1:22" x14ac:dyDescent="0.25">
      <c r="A5" s="4"/>
      <c r="B5" s="3" t="s">
        <v>14</v>
      </c>
      <c r="C5" s="6">
        <v>0.54861111111111105</v>
      </c>
      <c r="D5" s="6">
        <v>0.625</v>
      </c>
      <c r="E5" s="6">
        <f t="shared" si="0"/>
        <v>7.6388888888888951E-2</v>
      </c>
      <c r="F5" s="24"/>
      <c r="G5" s="3"/>
    </row>
    <row r="6" spans="1:22" x14ac:dyDescent="0.25">
      <c r="A6" s="4"/>
      <c r="B6" s="3" t="s">
        <v>8</v>
      </c>
      <c r="C6" s="6">
        <v>0.625</v>
      </c>
      <c r="D6" s="6">
        <v>0.63194444444444442</v>
      </c>
      <c r="E6" s="6">
        <f t="shared" si="0"/>
        <v>6.9444444444444198E-3</v>
      </c>
      <c r="F6" s="24"/>
      <c r="G6" s="3"/>
    </row>
    <row r="7" spans="1:22" ht="60" x14ac:dyDescent="0.25">
      <c r="A7" s="4"/>
      <c r="B7" s="3" t="s">
        <v>15</v>
      </c>
      <c r="C7" s="6">
        <v>0.63194444444444442</v>
      </c>
      <c r="D7" s="6">
        <v>0.64583333333333337</v>
      </c>
      <c r="E7" s="6">
        <f t="shared" ref="E7:E93" si="1">D7-C7</f>
        <v>1.3888888888888951E-2</v>
      </c>
      <c r="F7" s="24"/>
      <c r="G7" s="18" t="s">
        <v>17</v>
      </c>
    </row>
    <row r="8" spans="1:22" x14ac:dyDescent="0.25">
      <c r="A8" s="4"/>
      <c r="B8" s="3" t="s">
        <v>10</v>
      </c>
      <c r="C8" s="6">
        <v>0.64583333333333337</v>
      </c>
      <c r="D8" s="6">
        <v>0.68055555555555547</v>
      </c>
      <c r="E8" s="6">
        <f t="shared" si="1"/>
        <v>3.4722222222222099E-2</v>
      </c>
      <c r="F8" s="24"/>
      <c r="G8" s="18" t="s">
        <v>13</v>
      </c>
    </row>
    <row r="9" spans="1:22" x14ac:dyDescent="0.25">
      <c r="A9" s="4"/>
      <c r="B9" s="3" t="s">
        <v>9</v>
      </c>
      <c r="C9" s="6">
        <v>0.68055555555555547</v>
      </c>
      <c r="D9" s="6">
        <v>0.69097222222222221</v>
      </c>
      <c r="E9" s="6">
        <f t="shared" si="1"/>
        <v>1.0416666666666741E-2</v>
      </c>
      <c r="F9" s="24"/>
      <c r="G9" s="3" t="s">
        <v>11</v>
      </c>
    </row>
    <row r="10" spans="1:22" ht="30" x14ac:dyDescent="0.25">
      <c r="A10" s="13">
        <v>44474</v>
      </c>
      <c r="B10" s="14" t="s">
        <v>18</v>
      </c>
      <c r="C10" s="15">
        <v>0.3576388888888889</v>
      </c>
      <c r="D10" s="15">
        <v>0.38194444444444442</v>
      </c>
      <c r="E10" s="15">
        <f t="shared" si="1"/>
        <v>2.4305555555555525E-2</v>
      </c>
      <c r="F10" s="25">
        <f>SUM(E10:E15)</f>
        <v>0.26736111111111116</v>
      </c>
      <c r="G10" s="29" t="s">
        <v>19</v>
      </c>
    </row>
    <row r="11" spans="1:22" ht="60" x14ac:dyDescent="0.25">
      <c r="A11" s="13"/>
      <c r="B11" s="14" t="s">
        <v>20</v>
      </c>
      <c r="C11" s="15">
        <v>0.38194444444444442</v>
      </c>
      <c r="D11" s="15">
        <v>0.40625</v>
      </c>
      <c r="E11" s="15">
        <f t="shared" si="1"/>
        <v>2.430555555555558E-2</v>
      </c>
      <c r="F11" s="25"/>
      <c r="G11" s="29" t="s">
        <v>21</v>
      </c>
    </row>
    <row r="12" spans="1:22" x14ac:dyDescent="0.25">
      <c r="A12" s="13"/>
      <c r="B12" s="14" t="s">
        <v>22</v>
      </c>
      <c r="C12" s="15">
        <v>0.4236111111111111</v>
      </c>
      <c r="D12" s="15">
        <v>0.4513888888888889</v>
      </c>
      <c r="E12" s="15">
        <f t="shared" si="1"/>
        <v>2.777777777777779E-2</v>
      </c>
      <c r="F12" s="25"/>
      <c r="G12" s="15" t="s">
        <v>23</v>
      </c>
    </row>
    <row r="13" spans="1:22" x14ac:dyDescent="0.25">
      <c r="A13" s="13"/>
      <c r="B13" s="14" t="s">
        <v>24</v>
      </c>
      <c r="C13" s="15">
        <v>0.4513888888888889</v>
      </c>
      <c r="D13" s="15">
        <v>0.46527777777777773</v>
      </c>
      <c r="E13" s="15">
        <f t="shared" si="1"/>
        <v>1.388888888888884E-2</v>
      </c>
      <c r="F13" s="25"/>
      <c r="G13" s="15" t="s">
        <v>25</v>
      </c>
    </row>
    <row r="14" spans="1:22" x14ac:dyDescent="0.25">
      <c r="A14" s="13"/>
      <c r="B14" s="14" t="s">
        <v>26</v>
      </c>
      <c r="C14" s="15">
        <v>0.46527777777777773</v>
      </c>
      <c r="D14" s="15">
        <v>0.5</v>
      </c>
      <c r="E14" s="15">
        <f t="shared" si="1"/>
        <v>3.4722222222222265E-2</v>
      </c>
      <c r="F14" s="25"/>
      <c r="G14" s="15"/>
    </row>
    <row r="15" spans="1:22" ht="45" x14ac:dyDescent="0.25">
      <c r="A15" s="13"/>
      <c r="B15" s="14" t="s">
        <v>26</v>
      </c>
      <c r="C15" s="15">
        <v>0.54861111111111105</v>
      </c>
      <c r="D15" s="15">
        <v>0.69097222222222221</v>
      </c>
      <c r="E15" s="15">
        <f t="shared" si="1"/>
        <v>0.14236111111111116</v>
      </c>
      <c r="F15" s="25"/>
      <c r="G15" s="29" t="s">
        <v>27</v>
      </c>
    </row>
    <row r="16" spans="1:22" ht="45" x14ac:dyDescent="0.25">
      <c r="A16" s="4">
        <v>44475</v>
      </c>
      <c r="B16" s="18" t="s">
        <v>29</v>
      </c>
      <c r="C16" s="6">
        <v>0.35416666666666669</v>
      </c>
      <c r="D16" s="6">
        <v>0.4826388888888889</v>
      </c>
      <c r="E16" s="6">
        <f t="shared" si="1"/>
        <v>0.12847222222222221</v>
      </c>
      <c r="F16" s="24">
        <f>SUM(E16:E17)</f>
        <v>0.27777777777777779</v>
      </c>
      <c r="G16" s="18" t="s">
        <v>28</v>
      </c>
      <c r="H16" s="2"/>
      <c r="I16" s="2"/>
      <c r="J16" s="2"/>
      <c r="K16" s="2"/>
      <c r="L16" s="2"/>
      <c r="M16" s="2"/>
      <c r="N16" s="2"/>
      <c r="P16" s="2"/>
      <c r="Q16" s="2"/>
      <c r="R16" s="2"/>
      <c r="S16" s="2"/>
      <c r="T16" s="2"/>
      <c r="V16" s="2"/>
    </row>
    <row r="17" spans="1:22" x14ac:dyDescent="0.25">
      <c r="A17" s="4"/>
      <c r="B17" s="3" t="s">
        <v>30</v>
      </c>
      <c r="C17" s="6">
        <v>0.54861111111111105</v>
      </c>
      <c r="D17" s="6">
        <v>0.69791666666666663</v>
      </c>
      <c r="E17" s="6">
        <f t="shared" si="1"/>
        <v>0.14930555555555558</v>
      </c>
      <c r="F17" s="24"/>
      <c r="G17" s="3" t="s">
        <v>30</v>
      </c>
      <c r="H17" s="2"/>
      <c r="I17" s="2"/>
      <c r="J17" s="2"/>
      <c r="K17" s="2"/>
      <c r="L17" s="2"/>
      <c r="M17" s="2"/>
      <c r="N17" s="2"/>
      <c r="P17" s="2"/>
      <c r="Q17" s="2"/>
      <c r="R17" s="2"/>
      <c r="S17" s="2"/>
      <c r="T17" s="2"/>
      <c r="V17" s="2"/>
    </row>
    <row r="18" spans="1:22" ht="60" x14ac:dyDescent="0.25">
      <c r="A18" s="13">
        <v>44476</v>
      </c>
      <c r="B18" s="14" t="s">
        <v>31</v>
      </c>
      <c r="C18" s="15">
        <v>0.35416666666666669</v>
      </c>
      <c r="D18" s="15">
        <v>0.41666666666666669</v>
      </c>
      <c r="E18" s="15">
        <f t="shared" si="1"/>
        <v>6.25E-2</v>
      </c>
      <c r="F18" s="25">
        <f>SUM(E18:E22)</f>
        <v>0.25694444444444448</v>
      </c>
      <c r="G18" s="19" t="s">
        <v>32</v>
      </c>
      <c r="H18" s="2"/>
      <c r="I18" s="2"/>
      <c r="J18" s="2"/>
      <c r="K18" s="2"/>
      <c r="L18" s="2"/>
      <c r="M18" s="2"/>
      <c r="N18" s="2"/>
      <c r="P18" s="2"/>
      <c r="Q18" s="2"/>
      <c r="R18" s="2"/>
      <c r="S18" s="2"/>
      <c r="T18" s="2"/>
      <c r="V18" s="2"/>
    </row>
    <row r="19" spans="1:22" ht="30" x14ac:dyDescent="0.25">
      <c r="A19" s="13"/>
      <c r="B19" s="19" t="s">
        <v>33</v>
      </c>
      <c r="C19" s="15">
        <v>0.43055555555555558</v>
      </c>
      <c r="D19" s="15">
        <v>0.4861111111111111</v>
      </c>
      <c r="E19" s="15">
        <f t="shared" si="1"/>
        <v>5.5555555555555525E-2</v>
      </c>
      <c r="F19" s="25"/>
      <c r="G19" s="19" t="s">
        <v>34</v>
      </c>
      <c r="H19" s="2"/>
      <c r="I19" s="2"/>
      <c r="J19" s="2"/>
      <c r="K19" s="2"/>
      <c r="L19" s="2"/>
      <c r="M19" s="2"/>
      <c r="N19" s="2"/>
      <c r="P19" s="2"/>
      <c r="Q19" s="2"/>
      <c r="R19" s="2"/>
      <c r="S19" s="2"/>
      <c r="T19" s="2"/>
      <c r="V19" s="2"/>
    </row>
    <row r="20" spans="1:22" ht="90" x14ac:dyDescent="0.25">
      <c r="A20" s="13"/>
      <c r="B20" s="14" t="s">
        <v>35</v>
      </c>
      <c r="C20" s="15">
        <v>0.54166666666666663</v>
      </c>
      <c r="D20" s="15">
        <v>0.60416666666666663</v>
      </c>
      <c r="E20" s="15">
        <f t="shared" si="1"/>
        <v>6.25E-2</v>
      </c>
      <c r="F20" s="25"/>
      <c r="G20" s="19" t="s">
        <v>37</v>
      </c>
      <c r="H20" s="2"/>
      <c r="I20" s="2"/>
      <c r="J20" s="2"/>
      <c r="K20" s="2"/>
      <c r="L20" s="2"/>
      <c r="M20" s="2"/>
      <c r="N20" s="2"/>
      <c r="P20" s="2"/>
      <c r="Q20" s="2"/>
      <c r="R20" s="2"/>
      <c r="S20" s="2"/>
      <c r="T20" s="2"/>
      <c r="V20" s="2"/>
    </row>
    <row r="21" spans="1:22" x14ac:dyDescent="0.25">
      <c r="A21" s="13"/>
      <c r="B21" s="14" t="s">
        <v>36</v>
      </c>
      <c r="C21" s="15">
        <v>0.60416666666666663</v>
      </c>
      <c r="D21" s="15">
        <v>0.625</v>
      </c>
      <c r="E21" s="15">
        <f t="shared" si="1"/>
        <v>2.083333333333337E-2</v>
      </c>
      <c r="F21" s="25"/>
      <c r="G21" s="19"/>
      <c r="H21" s="2"/>
      <c r="I21" s="2"/>
      <c r="J21" s="2"/>
      <c r="K21" s="2"/>
      <c r="L21" s="2"/>
      <c r="M21" s="2"/>
      <c r="N21" s="2"/>
      <c r="P21" s="2"/>
      <c r="Q21" s="2"/>
      <c r="R21" s="2"/>
      <c r="S21" s="2"/>
      <c r="T21" s="2"/>
      <c r="V21" s="2"/>
    </row>
    <row r="22" spans="1:22" x14ac:dyDescent="0.25">
      <c r="A22" s="13"/>
      <c r="B22" s="14" t="s">
        <v>26</v>
      </c>
      <c r="C22" s="15">
        <v>0.63541666666666663</v>
      </c>
      <c r="D22" s="15">
        <v>0.69097222222222221</v>
      </c>
      <c r="E22" s="15">
        <f t="shared" si="1"/>
        <v>5.555555555555558E-2</v>
      </c>
      <c r="F22" s="25"/>
      <c r="G22" s="14" t="s">
        <v>38</v>
      </c>
      <c r="H22" s="2"/>
      <c r="I22" s="2"/>
      <c r="J22" s="2"/>
      <c r="K22" s="2"/>
      <c r="L22" s="2"/>
      <c r="M22" s="2"/>
      <c r="N22" s="2"/>
      <c r="P22" s="2"/>
      <c r="Q22" s="2"/>
      <c r="R22" s="2"/>
      <c r="S22" s="2"/>
      <c r="T22" s="2"/>
      <c r="V22" s="2"/>
    </row>
    <row r="23" spans="1:22" ht="60" x14ac:dyDescent="0.25">
      <c r="A23" s="4">
        <v>44477</v>
      </c>
      <c r="B23" s="3" t="s">
        <v>39</v>
      </c>
      <c r="C23" s="6">
        <v>0.35416666666666669</v>
      </c>
      <c r="D23" s="6">
        <v>0.49305555555555558</v>
      </c>
      <c r="E23" s="6">
        <f t="shared" si="1"/>
        <v>0.1388888888888889</v>
      </c>
      <c r="F23" s="24">
        <f>SUM(E23:E24)</f>
        <v>0.28125000000000006</v>
      </c>
      <c r="G23" s="18" t="s">
        <v>40</v>
      </c>
    </row>
    <row r="24" spans="1:22" ht="45" x14ac:dyDescent="0.25">
      <c r="A24" s="4"/>
      <c r="B24" s="3" t="s">
        <v>39</v>
      </c>
      <c r="C24" s="6">
        <v>0.54861111111111105</v>
      </c>
      <c r="D24" s="6">
        <v>0.69097222222222221</v>
      </c>
      <c r="E24" s="6">
        <f t="shared" si="1"/>
        <v>0.14236111111111116</v>
      </c>
      <c r="F24" s="24"/>
      <c r="G24" s="18" t="s">
        <v>41</v>
      </c>
    </row>
    <row r="25" spans="1:22" x14ac:dyDescent="0.25">
      <c r="A25" s="10">
        <v>44480</v>
      </c>
      <c r="B25" s="11" t="s">
        <v>76</v>
      </c>
      <c r="C25" s="12">
        <v>0.35416666666666669</v>
      </c>
      <c r="D25" s="12">
        <v>0.49305555555555558</v>
      </c>
      <c r="E25" s="12">
        <f t="shared" si="1"/>
        <v>0.1388888888888889</v>
      </c>
      <c r="F25" s="23">
        <f>SUM(E25,E26)</f>
        <v>0.28125000000000006</v>
      </c>
      <c r="G25" s="11" t="s">
        <v>42</v>
      </c>
    </row>
    <row r="26" spans="1:22" ht="45" x14ac:dyDescent="0.25">
      <c r="A26" s="10"/>
      <c r="B26" s="11" t="s">
        <v>76</v>
      </c>
      <c r="C26" s="12">
        <v>0.54861111111111105</v>
      </c>
      <c r="D26" s="12">
        <v>0.69097222222222221</v>
      </c>
      <c r="E26" s="12">
        <f>D26-C26</f>
        <v>0.14236111111111116</v>
      </c>
      <c r="F26" s="23"/>
      <c r="G26" s="30" t="s">
        <v>43</v>
      </c>
    </row>
    <row r="27" spans="1:22" x14ac:dyDescent="0.25">
      <c r="A27" s="4">
        <v>44481</v>
      </c>
      <c r="B27" s="3" t="s">
        <v>8</v>
      </c>
      <c r="C27" s="6">
        <v>0.35416666666666669</v>
      </c>
      <c r="D27" s="6">
        <v>0.48958333333333331</v>
      </c>
      <c r="E27" s="6">
        <f>D27-C27</f>
        <v>0.13541666666666663</v>
      </c>
      <c r="F27" s="24">
        <f>SUM(E27:E29)</f>
        <v>0.27083333333333326</v>
      </c>
      <c r="G27" s="3" t="s">
        <v>44</v>
      </c>
    </row>
    <row r="28" spans="1:22" x14ac:dyDescent="0.25">
      <c r="A28" s="4"/>
      <c r="B28" s="3" t="s">
        <v>45</v>
      </c>
      <c r="C28" s="6">
        <v>0.54861111111111105</v>
      </c>
      <c r="D28" s="6">
        <v>0.56944444444444442</v>
      </c>
      <c r="E28" s="6">
        <f>D28-C28</f>
        <v>2.083333333333337E-2</v>
      </c>
      <c r="F28" s="24"/>
      <c r="G28" s="3"/>
    </row>
    <row r="29" spans="1:22" x14ac:dyDescent="0.25">
      <c r="A29" s="4"/>
      <c r="B29" s="3" t="s">
        <v>46</v>
      </c>
      <c r="C29" s="6">
        <v>0.58333333333333337</v>
      </c>
      <c r="D29" s="6">
        <v>0.69791666666666663</v>
      </c>
      <c r="E29" s="6">
        <f>D29-C29</f>
        <v>0.11458333333333326</v>
      </c>
      <c r="F29" s="24"/>
      <c r="G29" s="3" t="s">
        <v>47</v>
      </c>
    </row>
    <row r="30" spans="1:22" x14ac:dyDescent="0.25">
      <c r="A30" s="4"/>
      <c r="B30" s="22"/>
      <c r="C30" s="6"/>
      <c r="D30" s="6"/>
      <c r="E30" s="6"/>
      <c r="F30" s="24"/>
      <c r="G30" s="3"/>
    </row>
    <row r="31" spans="1:22" x14ac:dyDescent="0.25">
      <c r="A31" s="7">
        <v>44482</v>
      </c>
      <c r="B31" s="8" t="s">
        <v>46</v>
      </c>
      <c r="C31" s="9">
        <v>0.36458333333333331</v>
      </c>
      <c r="D31" s="9">
        <v>0.4861111111111111</v>
      </c>
      <c r="E31" s="9">
        <f t="shared" ref="E31:E40" si="2">D31-C31</f>
        <v>0.12152777777777779</v>
      </c>
      <c r="F31" s="26">
        <f>SUM(E31:E34)</f>
        <v>0.25000000000000011</v>
      </c>
      <c r="G31" s="8" t="s">
        <v>46</v>
      </c>
    </row>
    <row r="32" spans="1:22" x14ac:dyDescent="0.25">
      <c r="A32" s="7"/>
      <c r="B32" s="8" t="s">
        <v>48</v>
      </c>
      <c r="C32" s="9">
        <v>0.54861111111111105</v>
      </c>
      <c r="D32" s="9">
        <v>0.59375</v>
      </c>
      <c r="E32" s="9">
        <f t="shared" si="2"/>
        <v>4.5138888888888951E-2</v>
      </c>
      <c r="F32" s="26"/>
      <c r="G32" s="8" t="s">
        <v>49</v>
      </c>
    </row>
    <row r="33" spans="1:7" ht="45" x14ac:dyDescent="0.25">
      <c r="A33" s="7"/>
      <c r="B33" s="8" t="s">
        <v>50</v>
      </c>
      <c r="C33" s="9">
        <v>0.59375</v>
      </c>
      <c r="D33" s="9">
        <v>0.64583333333333337</v>
      </c>
      <c r="E33" s="9">
        <f t="shared" si="2"/>
        <v>5.208333333333337E-2</v>
      </c>
      <c r="F33" s="26"/>
      <c r="G33" s="31" t="s">
        <v>51</v>
      </c>
    </row>
    <row r="34" spans="1:7" x14ac:dyDescent="0.25">
      <c r="A34" s="7"/>
      <c r="B34" s="8" t="s">
        <v>52</v>
      </c>
      <c r="C34" s="9">
        <v>0.65972222222222221</v>
      </c>
      <c r="D34" s="9">
        <v>0.69097222222222221</v>
      </c>
      <c r="E34" s="9">
        <f t="shared" si="2"/>
        <v>3.125E-2</v>
      </c>
      <c r="F34" s="26"/>
      <c r="G34" s="9"/>
    </row>
    <row r="35" spans="1:7" x14ac:dyDescent="0.25">
      <c r="A35" s="4">
        <v>44483</v>
      </c>
      <c r="B35" s="3" t="s">
        <v>52</v>
      </c>
      <c r="C35" s="6">
        <v>0.36458333333333331</v>
      </c>
      <c r="D35" s="6">
        <v>0.41666666666666669</v>
      </c>
      <c r="E35" s="6">
        <f t="shared" si="2"/>
        <v>5.208333333333337E-2</v>
      </c>
      <c r="F35" s="24">
        <f>SUM(E35:E37)</f>
        <v>0.27430555555555558</v>
      </c>
      <c r="G35" s="3"/>
    </row>
    <row r="36" spans="1:7" x14ac:dyDescent="0.25">
      <c r="A36" s="4"/>
      <c r="B36" s="3" t="s">
        <v>53</v>
      </c>
      <c r="C36" s="6">
        <v>0.41666666666666669</v>
      </c>
      <c r="D36" s="6">
        <v>0.49652777777777773</v>
      </c>
      <c r="E36" s="6">
        <f t="shared" si="2"/>
        <v>7.9861111111111049E-2</v>
      </c>
      <c r="F36" s="24"/>
      <c r="G36" s="3"/>
    </row>
    <row r="37" spans="1:7" ht="30" x14ac:dyDescent="0.25">
      <c r="A37" s="4"/>
      <c r="B37" s="3" t="s">
        <v>54</v>
      </c>
      <c r="C37" s="6">
        <v>0.54861111111111105</v>
      </c>
      <c r="D37" s="6">
        <v>0.69097222222222221</v>
      </c>
      <c r="E37" s="6">
        <f t="shared" si="2"/>
        <v>0.14236111111111116</v>
      </c>
      <c r="F37" s="24"/>
      <c r="G37" s="18" t="s">
        <v>55</v>
      </c>
    </row>
    <row r="38" spans="1:7" ht="30" x14ac:dyDescent="0.25">
      <c r="A38" s="7">
        <v>44484</v>
      </c>
      <c r="B38" s="31" t="s">
        <v>56</v>
      </c>
      <c r="C38" s="9">
        <v>0.35416666666666669</v>
      </c>
      <c r="D38" s="9">
        <v>0.5</v>
      </c>
      <c r="E38" s="9">
        <f t="shared" si="2"/>
        <v>0.14583333333333331</v>
      </c>
      <c r="F38" s="26">
        <f>SUM(E38:E41)</f>
        <v>0.2326388888888889</v>
      </c>
      <c r="G38" s="31" t="s">
        <v>57</v>
      </c>
    </row>
    <row r="39" spans="1:7" x14ac:dyDescent="0.25">
      <c r="A39" s="7"/>
      <c r="B39" s="8" t="s">
        <v>58</v>
      </c>
      <c r="C39" s="9">
        <v>0.54861111111111105</v>
      </c>
      <c r="D39" s="9">
        <v>0.58333333333333337</v>
      </c>
      <c r="E39" s="9">
        <f t="shared" si="2"/>
        <v>3.4722222222222321E-2</v>
      </c>
      <c r="F39" s="26"/>
      <c r="G39" s="8"/>
    </row>
    <row r="40" spans="1:7" ht="30" x14ac:dyDescent="0.25">
      <c r="A40" s="7"/>
      <c r="B40" s="8" t="s">
        <v>59</v>
      </c>
      <c r="C40" s="9">
        <v>0.58333333333333337</v>
      </c>
      <c r="D40" s="9">
        <v>0.63541666666666663</v>
      </c>
      <c r="E40" s="9">
        <f t="shared" si="2"/>
        <v>5.2083333333333259E-2</v>
      </c>
      <c r="F40" s="26"/>
      <c r="G40" s="31" t="s">
        <v>60</v>
      </c>
    </row>
    <row r="41" spans="1:7" x14ac:dyDescent="0.25">
      <c r="A41" s="7"/>
      <c r="B41" s="8" t="s">
        <v>61</v>
      </c>
      <c r="C41" s="9">
        <v>0.63541666666666663</v>
      </c>
      <c r="D41" s="9">
        <v>0.69097222222222221</v>
      </c>
      <c r="E41" s="9"/>
      <c r="F41" s="26"/>
      <c r="G41" s="8"/>
    </row>
    <row r="42" spans="1:7" ht="30" x14ac:dyDescent="0.25">
      <c r="A42" s="4">
        <v>44487</v>
      </c>
      <c r="B42" s="18" t="s">
        <v>62</v>
      </c>
      <c r="C42" s="6">
        <v>0.36458333333333331</v>
      </c>
      <c r="D42" s="6">
        <v>0.42708333333333331</v>
      </c>
      <c r="E42" s="6">
        <f t="shared" si="1"/>
        <v>6.25E-2</v>
      </c>
      <c r="F42" s="24">
        <f>SUM(E42:E45)</f>
        <v>0.26388888888888895</v>
      </c>
      <c r="G42" s="3" t="s">
        <v>67</v>
      </c>
    </row>
    <row r="43" spans="1:7" x14ac:dyDescent="0.25">
      <c r="A43" s="4"/>
      <c r="B43" s="3" t="s">
        <v>63</v>
      </c>
      <c r="C43" s="6">
        <v>0.42708333333333331</v>
      </c>
      <c r="D43" s="6">
        <v>0.4375</v>
      </c>
      <c r="E43" s="6">
        <f>D43-C43</f>
        <v>1.0416666666666685E-2</v>
      </c>
      <c r="F43" s="24"/>
      <c r="G43" s="18"/>
    </row>
    <row r="44" spans="1:7" x14ac:dyDescent="0.25">
      <c r="A44" s="4"/>
      <c r="B44" s="6" t="s">
        <v>64</v>
      </c>
      <c r="C44" s="6">
        <v>0.4375</v>
      </c>
      <c r="D44" s="6">
        <v>0.4861111111111111</v>
      </c>
      <c r="E44" s="6">
        <f>D44-C44</f>
        <v>4.8611111111111105E-2</v>
      </c>
      <c r="F44" s="24"/>
      <c r="G44" s="3"/>
    </row>
    <row r="45" spans="1:7" x14ac:dyDescent="0.25">
      <c r="A45" s="4"/>
      <c r="B45" s="6" t="s">
        <v>65</v>
      </c>
      <c r="C45" s="6">
        <v>0.54861111111111105</v>
      </c>
      <c r="D45" s="6">
        <v>0.69097222222222221</v>
      </c>
      <c r="E45" s="6">
        <f>D45-C45</f>
        <v>0.14236111111111116</v>
      </c>
      <c r="F45" s="24"/>
      <c r="G45" s="3"/>
    </row>
    <row r="46" spans="1:7" x14ac:dyDescent="0.25">
      <c r="A46" s="10">
        <v>44488</v>
      </c>
      <c r="B46" s="11" t="s">
        <v>66</v>
      </c>
      <c r="C46" s="12">
        <v>0.35416666666666669</v>
      </c>
      <c r="D46" s="12">
        <v>0.38194444444444442</v>
      </c>
      <c r="E46" s="12">
        <f t="shared" si="1"/>
        <v>2.7777777777777735E-2</v>
      </c>
      <c r="F46" s="23">
        <f>SUM(E46:E48)</f>
        <v>0.27083333333333337</v>
      </c>
      <c r="G46" s="11" t="s">
        <v>68</v>
      </c>
    </row>
    <row r="47" spans="1:7" ht="30" x14ac:dyDescent="0.25">
      <c r="A47" s="10"/>
      <c r="B47" s="30" t="s">
        <v>69</v>
      </c>
      <c r="C47" s="12">
        <v>0.38194444444444442</v>
      </c>
      <c r="D47" s="12">
        <v>0.4826388888888889</v>
      </c>
      <c r="E47" s="12">
        <f t="shared" si="1"/>
        <v>0.10069444444444448</v>
      </c>
      <c r="F47" s="23"/>
      <c r="G47" s="11"/>
    </row>
    <row r="48" spans="1:7" x14ac:dyDescent="0.25">
      <c r="A48" s="10"/>
      <c r="B48" s="11" t="s">
        <v>52</v>
      </c>
      <c r="C48" s="12">
        <v>0.54861111111111105</v>
      </c>
      <c r="D48" s="12">
        <v>0.69097222222222221</v>
      </c>
      <c r="E48" s="12">
        <f t="shared" si="1"/>
        <v>0.14236111111111116</v>
      </c>
      <c r="F48" s="23"/>
      <c r="G48" s="11"/>
    </row>
    <row r="49" spans="1:7" ht="30" x14ac:dyDescent="0.25">
      <c r="A49" s="4">
        <v>44489</v>
      </c>
      <c r="B49" s="18" t="s">
        <v>70</v>
      </c>
      <c r="C49" s="6">
        <v>0.36458333333333331</v>
      </c>
      <c r="D49" s="6">
        <v>0.4826388888888889</v>
      </c>
      <c r="E49" s="6">
        <f t="shared" si="1"/>
        <v>0.11805555555555558</v>
      </c>
      <c r="F49" s="24">
        <f>SUM(E49:E50)</f>
        <v>0.26041666666666674</v>
      </c>
      <c r="G49" s="18" t="s">
        <v>71</v>
      </c>
    </row>
    <row r="50" spans="1:7" x14ac:dyDescent="0.25">
      <c r="A50" s="4"/>
      <c r="B50" s="3" t="s">
        <v>52</v>
      </c>
      <c r="C50" s="6">
        <v>0.54861111111111105</v>
      </c>
      <c r="D50" s="6">
        <v>0.69097222222222221</v>
      </c>
      <c r="E50" s="6">
        <f t="shared" ref="E50" si="3">D50-C50</f>
        <v>0.14236111111111116</v>
      </c>
      <c r="F50" s="24"/>
      <c r="G50" s="3"/>
    </row>
    <row r="51" spans="1:7" x14ac:dyDescent="0.25">
      <c r="A51" s="13">
        <v>44490</v>
      </c>
      <c r="B51" s="14" t="s">
        <v>72</v>
      </c>
      <c r="C51" s="15">
        <v>0.36458333333333331</v>
      </c>
      <c r="D51" s="15">
        <v>0.49305555555555558</v>
      </c>
      <c r="E51" s="15">
        <f t="shared" si="1"/>
        <v>0.12847222222222227</v>
      </c>
      <c r="F51" s="26">
        <f>SUM(E51:E54)</f>
        <v>0.2638888888888889</v>
      </c>
      <c r="G51" s="14" t="s">
        <v>73</v>
      </c>
    </row>
    <row r="52" spans="1:7" x14ac:dyDescent="0.25">
      <c r="A52" s="13"/>
      <c r="B52" s="14" t="s">
        <v>74</v>
      </c>
      <c r="C52" s="15">
        <v>0.55555555555555558</v>
      </c>
      <c r="D52" s="15">
        <v>0.56944444444444442</v>
      </c>
      <c r="E52" s="15">
        <f>D52-C52</f>
        <v>1.388888888888884E-2</v>
      </c>
      <c r="F52" s="26"/>
      <c r="G52" s="14" t="s">
        <v>75</v>
      </c>
    </row>
    <row r="53" spans="1:7" x14ac:dyDescent="0.25">
      <c r="A53" s="13"/>
      <c r="B53" s="14" t="s">
        <v>35</v>
      </c>
      <c r="C53" s="15">
        <v>0.56944444444444442</v>
      </c>
      <c r="D53" s="15">
        <v>0.625</v>
      </c>
      <c r="E53" s="15">
        <f>D53-C53</f>
        <v>5.555555555555558E-2</v>
      </c>
      <c r="F53" s="26"/>
      <c r="G53" s="14"/>
    </row>
    <row r="54" spans="1:7" x14ac:dyDescent="0.25">
      <c r="A54" s="13"/>
      <c r="B54" s="14" t="s">
        <v>77</v>
      </c>
      <c r="C54" s="15">
        <v>0.625</v>
      </c>
      <c r="D54" s="15">
        <v>0.69097222222222221</v>
      </c>
      <c r="E54" s="15">
        <f t="shared" si="1"/>
        <v>6.597222222222221E-2</v>
      </c>
      <c r="F54" s="26"/>
      <c r="G54" s="14"/>
    </row>
    <row r="55" spans="1:7" ht="45" x14ac:dyDescent="0.25">
      <c r="A55" s="4">
        <v>44491</v>
      </c>
      <c r="B55" s="3" t="s">
        <v>78</v>
      </c>
      <c r="C55" s="6">
        <v>0.36458333333333331</v>
      </c>
      <c r="D55" s="6">
        <v>0.5</v>
      </c>
      <c r="E55" s="6">
        <f t="shared" si="1"/>
        <v>0.13541666666666669</v>
      </c>
      <c r="F55" s="24">
        <f>SUM(E55:E58)</f>
        <v>0.26388888888888901</v>
      </c>
      <c r="G55" s="18" t="s">
        <v>79</v>
      </c>
    </row>
    <row r="56" spans="1:7" x14ac:dyDescent="0.25">
      <c r="A56" s="4"/>
      <c r="B56" s="3" t="s">
        <v>80</v>
      </c>
      <c r="C56" s="6">
        <v>0.54861111111111105</v>
      </c>
      <c r="D56" s="6">
        <v>0.58333333333333337</v>
      </c>
      <c r="E56" s="6">
        <f t="shared" si="1"/>
        <v>3.4722222222222321E-2</v>
      </c>
      <c r="F56" s="24"/>
      <c r="G56" s="3" t="s">
        <v>81</v>
      </c>
    </row>
    <row r="57" spans="1:7" x14ac:dyDescent="0.25">
      <c r="A57" s="4"/>
      <c r="B57" s="3" t="s">
        <v>78</v>
      </c>
      <c r="C57" s="6">
        <v>0.58333333333333337</v>
      </c>
      <c r="D57" s="6">
        <v>0.65277777777777779</v>
      </c>
      <c r="E57" s="6">
        <f t="shared" si="1"/>
        <v>6.944444444444442E-2</v>
      </c>
      <c r="F57" s="24"/>
      <c r="G57" s="18" t="s">
        <v>82</v>
      </c>
    </row>
    <row r="58" spans="1:7" x14ac:dyDescent="0.25">
      <c r="A58" s="4"/>
      <c r="B58" s="3" t="s">
        <v>52</v>
      </c>
      <c r="C58" s="6">
        <v>0.66666666666666663</v>
      </c>
      <c r="D58" s="6">
        <v>0.69097222222222221</v>
      </c>
      <c r="E58" s="6">
        <f t="shared" si="1"/>
        <v>2.430555555555558E-2</v>
      </c>
      <c r="F58" s="24"/>
      <c r="G58" s="3"/>
    </row>
    <row r="59" spans="1:7" x14ac:dyDescent="0.25">
      <c r="A59" s="13">
        <v>44494</v>
      </c>
      <c r="B59" s="14" t="s">
        <v>83</v>
      </c>
      <c r="C59" s="15">
        <v>0.36458333333333331</v>
      </c>
      <c r="D59" s="15">
        <v>0.41666666666666669</v>
      </c>
      <c r="E59" s="15">
        <f t="shared" ref="E59:E65" si="4">D59-C59</f>
        <v>5.208333333333337E-2</v>
      </c>
      <c r="F59" s="25">
        <f>SUM(E59:E65)</f>
        <v>0.2673611111111111</v>
      </c>
      <c r="G59" s="14"/>
    </row>
    <row r="60" spans="1:7" ht="45" x14ac:dyDescent="0.25">
      <c r="A60" s="14"/>
      <c r="B60" s="14" t="s">
        <v>84</v>
      </c>
      <c r="C60" s="15">
        <v>0.41666666666666669</v>
      </c>
      <c r="D60" s="15">
        <v>0.52083333333333337</v>
      </c>
      <c r="E60" s="15">
        <f t="shared" si="4"/>
        <v>0.10416666666666669</v>
      </c>
      <c r="F60" s="25"/>
      <c r="G60" s="19" t="s">
        <v>85</v>
      </c>
    </row>
    <row r="61" spans="1:7" x14ac:dyDescent="0.25">
      <c r="A61" s="14"/>
      <c r="B61" s="15" t="s">
        <v>87</v>
      </c>
      <c r="C61" s="15">
        <v>0.5625</v>
      </c>
      <c r="D61" s="15">
        <v>0.59375</v>
      </c>
      <c r="E61" s="15">
        <f t="shared" si="4"/>
        <v>3.125E-2</v>
      </c>
      <c r="F61" s="25"/>
      <c r="G61" s="19" t="s">
        <v>86</v>
      </c>
    </row>
    <row r="62" spans="1:7" ht="45" x14ac:dyDescent="0.25">
      <c r="A62" s="14"/>
      <c r="B62" s="29" t="s">
        <v>88</v>
      </c>
      <c r="C62" s="15">
        <v>0.59375</v>
      </c>
      <c r="D62" s="15">
        <v>0.61111111111111105</v>
      </c>
      <c r="E62" s="15">
        <f t="shared" si="4"/>
        <v>1.7361111111111049E-2</v>
      </c>
      <c r="F62" s="25"/>
      <c r="G62" s="19"/>
    </row>
    <row r="63" spans="1:7" ht="30" x14ac:dyDescent="0.25">
      <c r="A63" s="14"/>
      <c r="B63" s="15" t="s">
        <v>89</v>
      </c>
      <c r="C63" s="15">
        <v>0.61111111111111105</v>
      </c>
      <c r="D63" s="15">
        <v>0.62152777777777779</v>
      </c>
      <c r="E63" s="15">
        <f t="shared" si="4"/>
        <v>1.0416666666666741E-2</v>
      </c>
      <c r="F63" s="25"/>
      <c r="G63" s="19" t="s">
        <v>90</v>
      </c>
    </row>
    <row r="64" spans="1:7" ht="30" x14ac:dyDescent="0.25">
      <c r="A64" s="14"/>
      <c r="B64" s="29" t="s">
        <v>91</v>
      </c>
      <c r="C64" s="15">
        <v>0.63888888888888895</v>
      </c>
      <c r="D64" s="15">
        <v>0.67708333333333337</v>
      </c>
      <c r="E64" s="15">
        <f t="shared" si="4"/>
        <v>3.819444444444442E-2</v>
      </c>
      <c r="F64" s="25"/>
      <c r="G64" s="19"/>
    </row>
    <row r="65" spans="1:7" x14ac:dyDescent="0.25">
      <c r="A65" s="14"/>
      <c r="B65" s="19" t="s">
        <v>52</v>
      </c>
      <c r="C65" s="15">
        <v>0.67708333333333337</v>
      </c>
      <c r="D65" s="15">
        <v>0.69097222222222221</v>
      </c>
      <c r="E65" s="15">
        <f t="shared" si="4"/>
        <v>1.388888888888884E-2</v>
      </c>
      <c r="F65" s="25"/>
      <c r="G65" s="14"/>
    </row>
    <row r="66" spans="1:7" ht="45" x14ac:dyDescent="0.25">
      <c r="A66" s="4">
        <v>44495</v>
      </c>
      <c r="B66" s="4" t="s">
        <v>92</v>
      </c>
      <c r="C66" s="17">
        <v>0.36458333333333331</v>
      </c>
      <c r="D66" s="17">
        <v>0.39930555555555558</v>
      </c>
      <c r="E66" s="6">
        <f t="shared" si="1"/>
        <v>3.4722222222222265E-2</v>
      </c>
      <c r="F66" s="27">
        <f xml:space="preserve"> SUM(E66:E69)</f>
        <v>0.26736111111111105</v>
      </c>
      <c r="G66" s="20" t="s">
        <v>93</v>
      </c>
    </row>
    <row r="67" spans="1:7" x14ac:dyDescent="0.25">
      <c r="A67" s="4"/>
      <c r="B67" s="4" t="s">
        <v>94</v>
      </c>
      <c r="C67" s="17">
        <v>0.40972222222222227</v>
      </c>
      <c r="D67" s="17">
        <v>0.4375</v>
      </c>
      <c r="E67" s="6">
        <f t="shared" si="1"/>
        <v>2.7777777777777735E-2</v>
      </c>
      <c r="F67" s="27"/>
      <c r="G67" s="4"/>
    </row>
    <row r="68" spans="1:7" x14ac:dyDescent="0.25">
      <c r="A68" s="4"/>
      <c r="B68" s="4" t="s">
        <v>77</v>
      </c>
      <c r="C68" s="17">
        <v>0.4375</v>
      </c>
      <c r="D68" s="17">
        <v>0.54166666666666663</v>
      </c>
      <c r="E68" s="6">
        <f t="shared" si="1"/>
        <v>0.10416666666666663</v>
      </c>
      <c r="F68" s="27"/>
      <c r="G68" s="20" t="s">
        <v>95</v>
      </c>
    </row>
    <row r="69" spans="1:7" x14ac:dyDescent="0.25">
      <c r="A69" s="4"/>
      <c r="B69" s="4" t="s">
        <v>77</v>
      </c>
      <c r="C69" s="17">
        <v>0.59027777777777779</v>
      </c>
      <c r="D69" s="17">
        <v>0.69097222222222221</v>
      </c>
      <c r="E69" s="6">
        <f t="shared" si="1"/>
        <v>0.10069444444444442</v>
      </c>
      <c r="F69" s="27"/>
      <c r="G69" s="4"/>
    </row>
    <row r="70" spans="1:7" x14ac:dyDescent="0.25">
      <c r="A70" s="10">
        <v>44496</v>
      </c>
      <c r="B70" s="11" t="s">
        <v>96</v>
      </c>
      <c r="C70" s="12">
        <v>0.36458333333333331</v>
      </c>
      <c r="D70" s="12">
        <v>0.54166666666666663</v>
      </c>
      <c r="E70" s="12">
        <f t="shared" si="1"/>
        <v>0.17708333333333331</v>
      </c>
      <c r="F70" s="23">
        <f t="shared" ref="F70" si="5">SUM(0)</f>
        <v>0</v>
      </c>
      <c r="G70" s="11"/>
    </row>
    <row r="71" spans="1:7" x14ac:dyDescent="0.25">
      <c r="A71" s="10"/>
      <c r="B71" s="11" t="s">
        <v>96</v>
      </c>
      <c r="C71" s="12">
        <v>0.60416666666666663</v>
      </c>
      <c r="D71" s="12">
        <v>0.69097222222222221</v>
      </c>
      <c r="E71" s="12">
        <f t="shared" si="1"/>
        <v>8.680555555555558E-2</v>
      </c>
      <c r="F71" s="23"/>
      <c r="G71" s="11"/>
    </row>
    <row r="72" spans="1:7" x14ac:dyDescent="0.25">
      <c r="A72" s="4">
        <v>44497</v>
      </c>
      <c r="B72" s="3" t="s">
        <v>96</v>
      </c>
      <c r="C72" s="6">
        <v>0.3576388888888889</v>
      </c>
      <c r="D72" s="6">
        <v>0.40625</v>
      </c>
      <c r="E72" s="6">
        <f t="shared" si="1"/>
        <v>4.8611111111111105E-2</v>
      </c>
      <c r="F72" s="24">
        <f>SUM(E72:E76)</f>
        <v>0.2534722222222221</v>
      </c>
      <c r="G72" s="3"/>
    </row>
    <row r="73" spans="1:7" x14ac:dyDescent="0.25">
      <c r="A73" s="4"/>
      <c r="B73" s="3" t="s">
        <v>59</v>
      </c>
      <c r="C73" s="6">
        <v>0.40625</v>
      </c>
      <c r="D73" s="6">
        <v>0.4375</v>
      </c>
      <c r="E73" s="6">
        <f t="shared" si="1"/>
        <v>3.125E-2</v>
      </c>
      <c r="F73" s="24"/>
      <c r="G73" s="3"/>
    </row>
    <row r="74" spans="1:7" x14ac:dyDescent="0.25">
      <c r="A74" s="4"/>
      <c r="B74" s="3" t="s">
        <v>97</v>
      </c>
      <c r="C74" s="6">
        <v>0.4375</v>
      </c>
      <c r="D74" s="6">
        <v>0.49652777777777773</v>
      </c>
      <c r="E74" s="6">
        <f t="shared" si="1"/>
        <v>5.9027777777777735E-2</v>
      </c>
      <c r="F74" s="24"/>
      <c r="G74" s="3"/>
    </row>
    <row r="75" spans="1:7" x14ac:dyDescent="0.25">
      <c r="A75" s="4"/>
      <c r="B75" s="3" t="s">
        <v>98</v>
      </c>
      <c r="C75" s="6">
        <v>0.55555555555555558</v>
      </c>
      <c r="D75" s="6">
        <v>0.60416666666666663</v>
      </c>
      <c r="E75" s="6">
        <f t="shared" si="1"/>
        <v>4.8611111111111049E-2</v>
      </c>
      <c r="F75" s="24"/>
      <c r="G75" s="3"/>
    </row>
    <row r="76" spans="1:7" x14ac:dyDescent="0.25">
      <c r="A76" s="4"/>
      <c r="B76" s="3" t="s">
        <v>52</v>
      </c>
      <c r="C76" s="6">
        <v>0.625</v>
      </c>
      <c r="D76" s="6">
        <v>0.69097222222222221</v>
      </c>
      <c r="E76" s="6">
        <f t="shared" si="1"/>
        <v>6.597222222222221E-2</v>
      </c>
      <c r="F76" s="24"/>
      <c r="G76" s="3"/>
    </row>
    <row r="77" spans="1:7" ht="30" x14ac:dyDescent="0.25">
      <c r="A77" s="13">
        <v>44498</v>
      </c>
      <c r="B77" s="14" t="s">
        <v>99</v>
      </c>
      <c r="C77" s="15">
        <v>0.36458333333333331</v>
      </c>
      <c r="D77" s="15">
        <v>0.45833333333333331</v>
      </c>
      <c r="E77" s="15">
        <f t="shared" si="1"/>
        <v>9.375E-2</v>
      </c>
      <c r="F77" s="26">
        <f>SUM(E77:E80)</f>
        <v>0.2673611111111111</v>
      </c>
      <c r="G77" s="19" t="s">
        <v>100</v>
      </c>
    </row>
    <row r="78" spans="1:7" x14ac:dyDescent="0.25">
      <c r="A78" s="13"/>
      <c r="B78" s="14" t="s">
        <v>101</v>
      </c>
      <c r="C78" s="15">
        <v>0.45833333333333331</v>
      </c>
      <c r="D78" s="15">
        <v>0.47916666666666669</v>
      </c>
      <c r="E78" s="15">
        <f t="shared" si="1"/>
        <v>2.083333333333337E-2</v>
      </c>
      <c r="F78" s="26"/>
      <c r="G78" s="19"/>
    </row>
    <row r="79" spans="1:7" x14ac:dyDescent="0.25">
      <c r="A79" s="13"/>
      <c r="B79" s="14" t="s">
        <v>96</v>
      </c>
      <c r="C79" s="15">
        <v>0.48958333333333331</v>
      </c>
      <c r="D79" s="15">
        <v>0.52777777777777779</v>
      </c>
      <c r="E79" s="15">
        <f t="shared" si="1"/>
        <v>3.8194444444444475E-2</v>
      </c>
      <c r="F79" s="26"/>
      <c r="G79" s="19"/>
    </row>
    <row r="80" spans="1:7" ht="30" x14ac:dyDescent="0.25">
      <c r="A80" s="13"/>
      <c r="B80" s="14" t="s">
        <v>96</v>
      </c>
      <c r="C80" s="15">
        <v>0.57638888888888895</v>
      </c>
      <c r="D80" s="15">
        <v>0.69097222222222221</v>
      </c>
      <c r="E80" s="15">
        <f t="shared" si="1"/>
        <v>0.11458333333333326</v>
      </c>
      <c r="F80" s="26"/>
      <c r="G80" s="19" t="s">
        <v>102</v>
      </c>
    </row>
    <row r="81" spans="1:7" ht="30" x14ac:dyDescent="0.25">
      <c r="A81" s="4">
        <v>44501</v>
      </c>
      <c r="B81" s="16" t="s">
        <v>103</v>
      </c>
      <c r="C81" s="17">
        <v>0.3576388888888889</v>
      </c>
      <c r="D81" s="17">
        <v>0.4826388888888889</v>
      </c>
      <c r="E81" s="17">
        <f t="shared" si="1"/>
        <v>0.125</v>
      </c>
      <c r="F81" s="24">
        <f>SUM(E81:E83)</f>
        <v>0.26736111111111116</v>
      </c>
      <c r="G81" s="21" t="s">
        <v>104</v>
      </c>
    </row>
    <row r="82" spans="1:7" x14ac:dyDescent="0.25">
      <c r="A82" s="4"/>
      <c r="B82" s="16" t="s">
        <v>103</v>
      </c>
      <c r="C82" s="17">
        <v>0.54861111111111105</v>
      </c>
      <c r="D82" s="17">
        <v>0.625</v>
      </c>
      <c r="E82" s="17">
        <f t="shared" si="1"/>
        <v>7.6388888888888951E-2</v>
      </c>
      <c r="F82" s="24"/>
      <c r="G82" s="16"/>
    </row>
    <row r="83" spans="1:7" x14ac:dyDescent="0.25">
      <c r="A83" s="4"/>
      <c r="B83" s="16" t="s">
        <v>105</v>
      </c>
      <c r="C83" s="17">
        <v>0.625</v>
      </c>
      <c r="D83" s="17">
        <v>0.69097222222222221</v>
      </c>
      <c r="E83" s="17">
        <f t="shared" si="1"/>
        <v>6.597222222222221E-2</v>
      </c>
      <c r="F83" s="24"/>
      <c r="G83" s="21"/>
    </row>
    <row r="84" spans="1:7" x14ac:dyDescent="0.25">
      <c r="A84" s="13">
        <v>44502</v>
      </c>
      <c r="B84" s="14" t="s">
        <v>107</v>
      </c>
      <c r="C84" s="15">
        <v>0.36458333333333331</v>
      </c>
      <c r="D84" s="15">
        <v>0.54166666666666663</v>
      </c>
      <c r="E84" s="15">
        <f t="shared" si="1"/>
        <v>0.17708333333333331</v>
      </c>
      <c r="F84" s="26">
        <f>SUM(E84:E85)</f>
        <v>0.28472222222222215</v>
      </c>
      <c r="G84" s="14" t="s">
        <v>106</v>
      </c>
    </row>
    <row r="85" spans="1:7" x14ac:dyDescent="0.25">
      <c r="A85" s="13"/>
      <c r="B85" s="14" t="s">
        <v>108</v>
      </c>
      <c r="C85" s="15">
        <v>0.58333333333333337</v>
      </c>
      <c r="D85" s="15">
        <v>0.69097222222222221</v>
      </c>
      <c r="E85" s="15">
        <f t="shared" si="1"/>
        <v>0.10763888888888884</v>
      </c>
      <c r="F85" s="26"/>
      <c r="G85" s="14" t="s">
        <v>109</v>
      </c>
    </row>
    <row r="86" spans="1:7" ht="30" x14ac:dyDescent="0.25">
      <c r="A86" s="4">
        <v>44503</v>
      </c>
      <c r="B86" s="3" t="s">
        <v>110</v>
      </c>
      <c r="C86" s="6">
        <v>0.36458333333333331</v>
      </c>
      <c r="D86" s="6">
        <v>0.49305555555555558</v>
      </c>
      <c r="E86" s="6">
        <f t="shared" si="1"/>
        <v>0.12847222222222227</v>
      </c>
      <c r="F86" s="24">
        <f>SUM(E86:E87)</f>
        <v>0.27083333333333343</v>
      </c>
      <c r="G86" s="18" t="s">
        <v>111</v>
      </c>
    </row>
    <row r="87" spans="1:7" x14ac:dyDescent="0.25">
      <c r="A87" s="4"/>
      <c r="B87" s="3" t="s">
        <v>110</v>
      </c>
      <c r="C87" s="6">
        <v>0.54861111111111105</v>
      </c>
      <c r="D87" s="6">
        <v>0.69097222222222221</v>
      </c>
      <c r="E87" s="6">
        <f t="shared" si="1"/>
        <v>0.14236111111111116</v>
      </c>
      <c r="F87" s="24"/>
      <c r="G87" s="3"/>
    </row>
    <row r="88" spans="1:7" x14ac:dyDescent="0.25">
      <c r="A88" s="10">
        <v>44504</v>
      </c>
      <c r="B88" s="11" t="s">
        <v>112</v>
      </c>
      <c r="C88" s="12">
        <v>0.36458333333333331</v>
      </c>
      <c r="D88" s="12">
        <v>0.4826388888888889</v>
      </c>
      <c r="E88" s="12">
        <f t="shared" si="1"/>
        <v>0.11805555555555558</v>
      </c>
      <c r="F88" s="23">
        <f>SUM(E88:E90)</f>
        <v>0.28819444444444442</v>
      </c>
      <c r="G88" s="11"/>
    </row>
    <row r="89" spans="1:7" ht="30" x14ac:dyDescent="0.25">
      <c r="A89" s="10"/>
      <c r="B89" s="11" t="s">
        <v>113</v>
      </c>
      <c r="C89" s="12">
        <v>0.54861111111111105</v>
      </c>
      <c r="D89" s="12">
        <v>0.625</v>
      </c>
      <c r="E89" s="12">
        <f>D89-C89</f>
        <v>7.6388888888888951E-2</v>
      </c>
      <c r="F89" s="23"/>
      <c r="G89" s="30" t="s">
        <v>114</v>
      </c>
    </row>
    <row r="90" spans="1:7" ht="30" x14ac:dyDescent="0.25">
      <c r="A90" s="10"/>
      <c r="B90" s="30" t="s">
        <v>115</v>
      </c>
      <c r="C90" s="12">
        <v>0.63888888888888895</v>
      </c>
      <c r="D90" s="12">
        <v>0.73263888888888884</v>
      </c>
      <c r="E90" s="12">
        <f>D90-C90</f>
        <v>9.3749999999999889E-2</v>
      </c>
      <c r="F90" s="23"/>
      <c r="G90" s="11"/>
    </row>
    <row r="91" spans="1:7" x14ac:dyDescent="0.25">
      <c r="A91" s="4">
        <v>44505</v>
      </c>
      <c r="B91" s="4" t="s">
        <v>116</v>
      </c>
      <c r="C91" s="17">
        <v>0.3576388888888889</v>
      </c>
      <c r="D91" s="17">
        <v>0.5</v>
      </c>
      <c r="E91" s="6">
        <f t="shared" si="1"/>
        <v>0.1423611111111111</v>
      </c>
      <c r="F91" s="27">
        <f>SUM(E91:E92)</f>
        <v>0.36805555555555552</v>
      </c>
      <c r="G91" s="4"/>
    </row>
    <row r="92" spans="1:7" x14ac:dyDescent="0.25">
      <c r="A92" s="4"/>
      <c r="B92" s="4" t="s">
        <v>117</v>
      </c>
      <c r="C92" s="17">
        <v>0.54861111111111105</v>
      </c>
      <c r="D92" s="17">
        <v>0.77430555555555547</v>
      </c>
      <c r="E92" s="6">
        <f t="shared" si="1"/>
        <v>0.22569444444444442</v>
      </c>
      <c r="F92" s="27"/>
      <c r="G92" s="4"/>
    </row>
    <row r="93" spans="1:7" x14ac:dyDescent="0.25">
      <c r="A93" s="4" t="s">
        <v>12</v>
      </c>
      <c r="B93" s="3"/>
      <c r="C93" s="6"/>
      <c r="D93" s="6"/>
      <c r="E93" s="6">
        <f t="shared" si="1"/>
        <v>0</v>
      </c>
      <c r="F93" s="24">
        <f>SUM(F91,F86,F84,F81,F77,F72,F66,F59,F55,F51,F49,F42,F38,F35,F31,F27,F25,F23,F18,F16,F10,F3,F88,F46)</f>
        <v>6.4583333333333321</v>
      </c>
      <c r="G93" s="3"/>
    </row>
    <row r="94" spans="1:7" x14ac:dyDescent="0.25">
      <c r="A94" s="5"/>
    </row>
    <row r="95" spans="1:7" x14ac:dyDescent="0.25">
      <c r="A95" s="5"/>
    </row>
    <row r="96" spans="1:7" x14ac:dyDescent="0.25">
      <c r="A96" s="5"/>
    </row>
    <row r="97" spans="1:1" x14ac:dyDescent="0.25">
      <c r="A97" s="5"/>
    </row>
    <row r="98" spans="1:1" x14ac:dyDescent="0.25">
      <c r="A98" s="5"/>
    </row>
    <row r="99" spans="1:1" x14ac:dyDescent="0.25">
      <c r="A99" s="5"/>
    </row>
    <row r="100" spans="1:1" x14ac:dyDescent="0.25">
      <c r="A100" s="5"/>
    </row>
    <row r="101" spans="1:1" x14ac:dyDescent="0.25">
      <c r="A101" s="5"/>
    </row>
    <row r="102" spans="1:1" x14ac:dyDescent="0.25">
      <c r="A102" s="5"/>
    </row>
    <row r="103" spans="1:1" x14ac:dyDescent="0.25">
      <c r="A103" s="5"/>
    </row>
    <row r="104" spans="1:1" x14ac:dyDescent="0.25">
      <c r="A104" s="5"/>
    </row>
    <row r="105" spans="1:1" x14ac:dyDescent="0.25">
      <c r="A105" s="5"/>
    </row>
    <row r="106" spans="1:1" x14ac:dyDescent="0.25">
      <c r="A106" s="5"/>
    </row>
    <row r="107" spans="1:1" x14ac:dyDescent="0.25">
      <c r="A107" s="5"/>
    </row>
    <row r="108" spans="1:1" x14ac:dyDescent="0.25">
      <c r="A108" s="5"/>
    </row>
    <row r="109" spans="1:1" x14ac:dyDescent="0.25">
      <c r="A109" s="5"/>
    </row>
    <row r="110" spans="1:1" x14ac:dyDescent="0.25">
      <c r="A110" s="5"/>
    </row>
    <row r="111" spans="1:1" x14ac:dyDescent="0.25">
      <c r="A111" s="5"/>
    </row>
    <row r="112" spans="1:1" x14ac:dyDescent="0.25">
      <c r="A112" s="5"/>
    </row>
    <row r="113" spans="1:1" x14ac:dyDescent="0.25">
      <c r="A113" s="5"/>
    </row>
    <row r="114" spans="1:1" x14ac:dyDescent="0.25">
      <c r="A114" s="5"/>
    </row>
    <row r="115" spans="1:1" x14ac:dyDescent="0.25">
      <c r="A115" s="5"/>
    </row>
    <row r="116" spans="1:1" x14ac:dyDescent="0.25">
      <c r="A116" s="5"/>
    </row>
    <row r="117" spans="1:1" x14ac:dyDescent="0.25">
      <c r="A117" s="5"/>
    </row>
    <row r="118" spans="1:1" x14ac:dyDescent="0.25">
      <c r="A118" s="5"/>
    </row>
    <row r="119" spans="1:1" x14ac:dyDescent="0.25">
      <c r="A119" s="5"/>
    </row>
    <row r="120" spans="1:1" x14ac:dyDescent="0.25">
      <c r="A120" s="5"/>
    </row>
    <row r="121" spans="1:1" x14ac:dyDescent="0.25">
      <c r="A121" s="5"/>
    </row>
  </sheetData>
  <pageMargins left="0.7" right="0.7" top="0.75" bottom="0.75" header="0.3" footer="0.3"/>
  <pageSetup paperSize="9" scale="52" orientation="portrait" r:id="rId1"/>
  <rowBreaks count="1" manualBreakCount="1">
    <brk id="45"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vt:i4>
      </vt:variant>
      <vt:variant>
        <vt:lpstr>Graphiques</vt:lpstr>
      </vt:variant>
      <vt:variant>
        <vt:i4>1</vt:i4>
      </vt:variant>
      <vt:variant>
        <vt:lpstr>Plages nommées</vt:lpstr>
      </vt:variant>
      <vt:variant>
        <vt:i4>1</vt:i4>
      </vt:variant>
    </vt:vector>
  </HeadingPairs>
  <TitlesOfParts>
    <vt:vector size="3" baseType="lpstr">
      <vt:lpstr>Feuil1</vt:lpstr>
      <vt:lpstr>Graphique1</vt:lpstr>
      <vt:lpstr>Feuil1!Zone_d_impression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2021-11-08T09:27:02Z</dcterms:modified>
</cp:coreProperties>
</file>