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417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3" i="1" l="1"/>
  <c r="S19" i="1"/>
  <c r="S20" i="1"/>
  <c r="S21" i="1"/>
  <c r="S22" i="1"/>
  <c r="R19" i="1"/>
  <c r="R20" i="1"/>
  <c r="R21" i="1"/>
  <c r="R22" i="1"/>
  <c r="R23" i="1"/>
  <c r="Q19" i="1"/>
  <c r="Q20" i="1"/>
  <c r="Q21" i="1"/>
  <c r="Q22" i="1"/>
  <c r="Q23" i="1"/>
  <c r="S18" i="1"/>
  <c r="R18" i="1"/>
  <c r="Q18" i="1"/>
  <c r="P18" i="1"/>
  <c r="P19" i="1"/>
  <c r="P20" i="1"/>
  <c r="P21" i="1"/>
  <c r="P22" i="1"/>
  <c r="P23" i="1"/>
  <c r="O22" i="1"/>
  <c r="O23" i="1"/>
  <c r="O21" i="1"/>
  <c r="O19" i="1"/>
  <c r="O20" i="1"/>
  <c r="O18" i="1"/>
  <c r="S17" i="1"/>
  <c r="R17" i="1"/>
  <c r="Q17" i="1"/>
  <c r="P17" i="1"/>
  <c r="R15" i="1"/>
  <c r="P15" i="1"/>
  <c r="H8" i="1"/>
  <c r="H7" i="1"/>
  <c r="H6" i="1"/>
  <c r="L17" i="1"/>
  <c r="L18" i="1"/>
  <c r="L19" i="1"/>
  <c r="L20" i="1"/>
  <c r="L21" i="1"/>
  <c r="L16" i="1"/>
  <c r="K17" i="1"/>
  <c r="K18" i="1"/>
  <c r="K19" i="1"/>
  <c r="K20" i="1"/>
  <c r="K21" i="1"/>
  <c r="K16" i="1"/>
  <c r="J20" i="1"/>
  <c r="J21" i="1"/>
  <c r="J19" i="1"/>
  <c r="J17" i="1"/>
  <c r="J18" i="1"/>
  <c r="J16" i="1"/>
  <c r="Q9" i="1"/>
  <c r="Q10" i="1"/>
  <c r="Q8" i="1"/>
  <c r="P9" i="1"/>
  <c r="P10" i="1"/>
  <c r="L9" i="1"/>
  <c r="L10" i="1"/>
  <c r="L8" i="1"/>
  <c r="K9" i="1"/>
  <c r="K10" i="1"/>
  <c r="K8" i="1"/>
  <c r="E6" i="1"/>
  <c r="P8" i="1" s="1"/>
  <c r="E7" i="1"/>
</calcChain>
</file>

<file path=xl/sharedStrings.xml><?xml version="1.0" encoding="utf-8"?>
<sst xmlns="http://schemas.openxmlformats.org/spreadsheetml/2006/main" count="25" uniqueCount="18">
  <si>
    <t>V pile</t>
  </si>
  <si>
    <t>FS</t>
  </si>
  <si>
    <t>Vo</t>
  </si>
  <si>
    <t>D</t>
  </si>
  <si>
    <t>Iout max</t>
  </si>
  <si>
    <t>r</t>
  </si>
  <si>
    <t>dVout</t>
  </si>
  <si>
    <t>diL</t>
  </si>
  <si>
    <t>Vpile</t>
  </si>
  <si>
    <t>Cout min</t>
  </si>
  <si>
    <t>L</t>
  </si>
  <si>
    <t>ESR</t>
  </si>
  <si>
    <t>VoutESR</t>
  </si>
  <si>
    <t>diL/2</t>
  </si>
  <si>
    <t>VouESR</t>
  </si>
  <si>
    <t>500uH</t>
  </si>
  <si>
    <t>2,2uF</t>
  </si>
  <si>
    <t>&gt; 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</si>
</sst>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00E+00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66" fontId="2" fillId="0" borderId="15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166" fontId="2" fillId="0" borderId="15" xfId="0" applyNumberFormat="1" applyFont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166" fontId="2" fillId="2" borderId="5" xfId="0" applyNumberFormat="1" applyFont="1" applyFill="1" applyBorder="1" applyAlignment="1">
      <alignment horizontal="center" vertical="center"/>
    </xf>
    <xf numFmtId="166" fontId="2" fillId="2" borderId="8" xfId="0" applyNumberFormat="1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166" fontId="2" fillId="0" borderId="7" xfId="0" applyNumberFormat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166" fontId="2" fillId="0" borderId="12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3" borderId="16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9" xfId="0" applyNumberFormat="1" applyFont="1" applyFill="1" applyBorder="1" applyAlignment="1">
      <alignment horizontal="center" vertical="center"/>
    </xf>
    <xf numFmtId="0" fontId="2" fillId="3" borderId="5" xfId="0" applyNumberFormat="1" applyFont="1" applyFill="1" applyBorder="1" applyAlignment="1">
      <alignment horizontal="center" vertical="center"/>
    </xf>
    <xf numFmtId="166" fontId="2" fillId="3" borderId="17" xfId="0" applyNumberFormat="1" applyFont="1" applyFill="1" applyBorder="1" applyAlignment="1">
      <alignment horizontal="center" vertical="center"/>
    </xf>
    <xf numFmtId="166" fontId="2" fillId="3" borderId="6" xfId="0" applyNumberFormat="1" applyFont="1" applyFill="1" applyBorder="1" applyAlignment="1">
      <alignment horizontal="center" vertical="center"/>
    </xf>
    <xf numFmtId="166" fontId="2" fillId="3" borderId="18" xfId="0" applyNumberFormat="1" applyFont="1" applyFill="1" applyBorder="1" applyAlignment="1">
      <alignment horizontal="center" vertical="center"/>
    </xf>
    <xf numFmtId="166" fontId="2" fillId="3" borderId="7" xfId="0" applyNumberFormat="1" applyFont="1" applyFill="1" applyBorder="1" applyAlignment="1">
      <alignment horizontal="center" vertical="center"/>
    </xf>
    <xf numFmtId="166" fontId="2" fillId="2" borderId="1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T23"/>
  <sheetViews>
    <sheetView tabSelected="1" topLeftCell="H1" workbookViewId="0">
      <selection activeCell="S10" sqref="S10"/>
    </sheetView>
  </sheetViews>
  <sheetFormatPr baseColWidth="10" defaultColWidth="9.140625" defaultRowHeight="18.75" x14ac:dyDescent="0.3"/>
  <cols>
    <col min="1" max="9" width="9.140625" style="1"/>
    <col min="10" max="10" width="12" style="1" customWidth="1"/>
    <col min="11" max="11" width="16.5703125" style="1" customWidth="1"/>
    <col min="12" max="12" width="18.5703125" style="1" customWidth="1"/>
    <col min="13" max="14" width="9.140625" style="1"/>
    <col min="15" max="15" width="10.85546875" style="13" customWidth="1"/>
    <col min="16" max="16" width="25" style="13" bestFit="1" customWidth="1"/>
    <col min="17" max="17" width="25" style="14" bestFit="1" customWidth="1"/>
    <col min="18" max="19" width="25.7109375" customWidth="1"/>
  </cols>
  <sheetData>
    <row r="4" spans="1:19" ht="19.5" thickBot="1" x14ac:dyDescent="0.35">
      <c r="A4" s="1" t="s">
        <v>4</v>
      </c>
      <c r="B4" s="1" t="s">
        <v>2</v>
      </c>
      <c r="C4" s="1" t="s">
        <v>0</v>
      </c>
      <c r="D4" s="1" t="s">
        <v>1</v>
      </c>
      <c r="E4" s="1" t="s">
        <v>3</v>
      </c>
      <c r="F4" s="1" t="s">
        <v>5</v>
      </c>
      <c r="G4" s="1" t="s">
        <v>6</v>
      </c>
      <c r="H4" s="1" t="s">
        <v>12</v>
      </c>
    </row>
    <row r="5" spans="1:19" ht="21.75" thickBot="1" x14ac:dyDescent="0.4">
      <c r="J5" s="2" t="s">
        <v>7</v>
      </c>
      <c r="K5" s="3"/>
      <c r="L5" s="4"/>
      <c r="O5" s="16" t="s">
        <v>9</v>
      </c>
      <c r="P5" s="17"/>
      <c r="Q5" s="18"/>
    </row>
    <row r="6" spans="1:19" ht="21.75" thickBot="1" x14ac:dyDescent="0.4">
      <c r="A6" s="1">
        <v>0.02</v>
      </c>
      <c r="B6" s="1">
        <v>3.3</v>
      </c>
      <c r="C6" s="1">
        <v>1</v>
      </c>
      <c r="D6" s="1">
        <v>180000</v>
      </c>
      <c r="E6" s="1">
        <f>1-(C6/B6)</f>
        <v>0.69696969696969702</v>
      </c>
      <c r="F6" s="1">
        <v>0.2</v>
      </c>
      <c r="G6" s="1">
        <v>0.1</v>
      </c>
      <c r="H6" s="1">
        <f>0.3-G6</f>
        <v>0.19999999999999998</v>
      </c>
      <c r="J6" s="8"/>
      <c r="K6" s="2" t="s">
        <v>8</v>
      </c>
      <c r="L6" s="4"/>
      <c r="O6" s="19"/>
      <c r="P6" s="16" t="s">
        <v>8</v>
      </c>
      <c r="Q6" s="18"/>
    </row>
    <row r="7" spans="1:19" ht="21.75" thickBot="1" x14ac:dyDescent="0.4">
      <c r="C7" s="1">
        <v>1.5</v>
      </c>
      <c r="E7" s="1">
        <f>1-(C7/B6)</f>
        <v>0.54545454545454541</v>
      </c>
      <c r="F7" s="1">
        <v>0.3</v>
      </c>
      <c r="G7" s="1">
        <v>0.2</v>
      </c>
      <c r="H7" s="1">
        <f>0.3-G7</f>
        <v>9.9999999999999978E-2</v>
      </c>
      <c r="J7" s="8" t="s">
        <v>5</v>
      </c>
      <c r="K7" s="10">
        <v>1</v>
      </c>
      <c r="L7" s="8">
        <v>1.5</v>
      </c>
      <c r="O7" s="19" t="s">
        <v>6</v>
      </c>
      <c r="P7" s="20">
        <v>1</v>
      </c>
      <c r="Q7" s="19">
        <v>1.5</v>
      </c>
    </row>
    <row r="8" spans="1:19" ht="21" x14ac:dyDescent="0.35">
      <c r="F8" s="1">
        <v>0.4</v>
      </c>
      <c r="G8" s="1">
        <v>0.3</v>
      </c>
      <c r="H8" s="1">
        <f>0.3-G8</f>
        <v>0</v>
      </c>
      <c r="J8" s="9">
        <v>0.2</v>
      </c>
      <c r="K8" s="11">
        <f>$J8*$A$6*($B$6/K$7)</f>
        <v>1.32E-2</v>
      </c>
      <c r="L8" s="5">
        <f>$J8*$A$6*($B$6/L$7)</f>
        <v>8.7999999999999988E-3</v>
      </c>
      <c r="O8" s="21">
        <v>0.1</v>
      </c>
      <c r="P8" s="36">
        <f>($A$6*$E$6)/($D$6*$O8)</f>
        <v>7.7441077441077452E-7</v>
      </c>
      <c r="Q8" s="26">
        <f>($A$6*$E$7)/($D$6*$O8)</f>
        <v>6.0606060606060599E-7</v>
      </c>
      <c r="R8" t="s">
        <v>16</v>
      </c>
    </row>
    <row r="9" spans="1:19" ht="21" x14ac:dyDescent="0.35">
      <c r="J9" s="6">
        <v>0.3</v>
      </c>
      <c r="K9" s="12">
        <f t="shared" ref="K9:L10" si="0">$J9*$A$6*($B$6/K$7)</f>
        <v>1.9799999999999998E-2</v>
      </c>
      <c r="L9" s="6">
        <f t="shared" si="0"/>
        <v>1.3199999999999998E-2</v>
      </c>
      <c r="O9" s="22">
        <v>0.2</v>
      </c>
      <c r="P9" s="27">
        <f t="shared" ref="P9:P10" si="1">($A$6*$E$6)/($D$6*$O9)</f>
        <v>3.8720538720538726E-7</v>
      </c>
      <c r="Q9" s="28">
        <f t="shared" ref="Q9:Q10" si="2">($A$6*$E$7)/($D$6*$O9)</f>
        <v>3.03030303030303E-7</v>
      </c>
    </row>
    <row r="10" spans="1:19" ht="21.75" thickBot="1" x14ac:dyDescent="0.4">
      <c r="J10" s="7">
        <v>0.4</v>
      </c>
      <c r="K10" s="35">
        <f t="shared" si="0"/>
        <v>2.64E-2</v>
      </c>
      <c r="L10" s="7">
        <f t="shared" si="0"/>
        <v>1.7599999999999998E-2</v>
      </c>
      <c r="O10" s="23">
        <v>0.3</v>
      </c>
      <c r="P10" s="29">
        <f t="shared" si="1"/>
        <v>2.5813692480359151E-7</v>
      </c>
      <c r="Q10" s="29">
        <f t="shared" si="2"/>
        <v>2.02020202020202E-7</v>
      </c>
    </row>
    <row r="12" spans="1:19" ht="19.5" thickBot="1" x14ac:dyDescent="0.35"/>
    <row r="13" spans="1:19" ht="21.75" thickBot="1" x14ac:dyDescent="0.4">
      <c r="J13" s="2" t="s">
        <v>10</v>
      </c>
      <c r="K13" s="3"/>
      <c r="L13" s="4"/>
      <c r="O13" s="2" t="s">
        <v>11</v>
      </c>
      <c r="P13" s="3"/>
      <c r="Q13" s="3"/>
      <c r="R13" s="3"/>
      <c r="S13" s="4"/>
    </row>
    <row r="14" spans="1:19" ht="21.75" thickBot="1" x14ac:dyDescent="0.4">
      <c r="J14" s="8"/>
      <c r="K14" s="30" t="s">
        <v>8</v>
      </c>
      <c r="L14" s="31"/>
      <c r="O14" s="8"/>
      <c r="P14" s="38" t="s">
        <v>14</v>
      </c>
      <c r="Q14" s="3"/>
      <c r="R14" s="3"/>
      <c r="S14" s="4"/>
    </row>
    <row r="15" spans="1:19" ht="21.75" thickBot="1" x14ac:dyDescent="0.4">
      <c r="J15" s="8" t="s">
        <v>7</v>
      </c>
      <c r="K15" s="15">
        <v>1</v>
      </c>
      <c r="L15" s="8">
        <v>1.5</v>
      </c>
      <c r="O15" s="8"/>
      <c r="P15" s="2">
        <f>H6</f>
        <v>0.19999999999999998</v>
      </c>
      <c r="Q15" s="4"/>
      <c r="R15" s="44">
        <f>H7</f>
        <v>9.9999999999999978E-2</v>
      </c>
      <c r="S15" s="45"/>
    </row>
    <row r="16" spans="1:19" ht="21.75" thickBot="1" x14ac:dyDescent="0.4">
      <c r="J16" s="9">
        <f>K8</f>
        <v>1.32E-2</v>
      </c>
      <c r="K16" s="33">
        <f>(K$15*($B$6-K$15))/($J16*$D$6*$B$6)</f>
        <v>2.9333741454953577E-4</v>
      </c>
      <c r="L16" s="33">
        <f>(L$15*($B$6-L$15))/($J16*$D$6*$B$6)</f>
        <v>3.4435261707988982E-4</v>
      </c>
      <c r="O16" s="8"/>
      <c r="P16" s="42" t="s">
        <v>3</v>
      </c>
      <c r="Q16" s="43"/>
      <c r="R16" s="46" t="s">
        <v>3</v>
      </c>
      <c r="S16" s="47"/>
    </row>
    <row r="17" spans="10:20" ht="21" x14ac:dyDescent="0.35">
      <c r="J17" s="6">
        <f t="shared" ref="J17:J18" si="3">K9</f>
        <v>1.9799999999999998E-2</v>
      </c>
      <c r="K17" s="32">
        <f t="shared" ref="K17:L21" si="4">(K$15*($B$6-K$15))/($J17*$D$6*$B$6)</f>
        <v>1.9555827636635721E-4</v>
      </c>
      <c r="L17" s="32">
        <f t="shared" si="4"/>
        <v>2.2956841138659323E-4</v>
      </c>
      <c r="O17" s="9" t="s">
        <v>13</v>
      </c>
      <c r="P17" s="24">
        <f>E6</f>
        <v>0.69696969696969702</v>
      </c>
      <c r="Q17" s="25">
        <f>E7</f>
        <v>0.54545454545454541</v>
      </c>
      <c r="R17" s="48">
        <f>E6</f>
        <v>0.69696969696969702</v>
      </c>
      <c r="S17" s="49">
        <f>E7</f>
        <v>0.54545454545454541</v>
      </c>
    </row>
    <row r="18" spans="10:20" ht="21" x14ac:dyDescent="0.35">
      <c r="J18" s="6">
        <f t="shared" si="3"/>
        <v>2.64E-2</v>
      </c>
      <c r="K18" s="32">
        <f t="shared" si="4"/>
        <v>1.4666870727476789E-4</v>
      </c>
      <c r="L18" s="32">
        <f t="shared" si="4"/>
        <v>1.7217630853994491E-4</v>
      </c>
      <c r="O18" s="6">
        <f>K8/2</f>
        <v>6.6E-3</v>
      </c>
      <c r="P18" s="40">
        <f>$P$15/(($A$6/(1-P$17))+$O18)</f>
        <v>2.7548209366391179</v>
      </c>
      <c r="Q18" s="27">
        <f>$P$15/(($A$6/(1-Q$17))+$O18)</f>
        <v>3.9525691699604741</v>
      </c>
      <c r="R18" s="50">
        <f>$R$15/(($A$6/(1-R$17))+$O18)</f>
        <v>1.3774104683195587</v>
      </c>
      <c r="S18" s="51">
        <f>$R$15/(($A$6/(1-S$17))+$O18)</f>
        <v>1.9762845849802368</v>
      </c>
    </row>
    <row r="19" spans="10:20" ht="21" x14ac:dyDescent="0.35">
      <c r="J19" s="6">
        <f>L8</f>
        <v>8.7999999999999988E-3</v>
      </c>
      <c r="K19" s="32">
        <f t="shared" si="4"/>
        <v>4.4000612182430368E-4</v>
      </c>
      <c r="L19" s="37">
        <f t="shared" si="4"/>
        <v>5.1652892561983473E-4</v>
      </c>
      <c r="M19" s="1" t="s">
        <v>15</v>
      </c>
      <c r="O19" s="6">
        <f t="shared" ref="O19:O20" si="5">K9/2</f>
        <v>9.8999999999999991E-3</v>
      </c>
      <c r="P19" s="40">
        <f t="shared" ref="P19:P23" si="6">P$15/(($A$6/(1-P$17))+$O19)</f>
        <v>2.635046113306982</v>
      </c>
      <c r="Q19" s="27">
        <f t="shared" ref="Q19:Q23" si="7">$P$15/(($A$6/(1-Q$17))+$O19)</f>
        <v>3.7105751391465676</v>
      </c>
      <c r="R19" s="50">
        <f t="shared" ref="R19:S23" si="8">$R$15/(($A$6/(1-R$17))+$O19)</f>
        <v>1.3175230566534908</v>
      </c>
      <c r="S19" s="51">
        <f t="shared" si="8"/>
        <v>1.8552875695732836</v>
      </c>
    </row>
    <row r="20" spans="10:20" ht="21" x14ac:dyDescent="0.35">
      <c r="J20" s="6">
        <f t="shared" ref="J20:J21" si="9">L9</f>
        <v>1.3199999999999998E-2</v>
      </c>
      <c r="K20" s="32">
        <f t="shared" si="4"/>
        <v>2.9333741454953583E-4</v>
      </c>
      <c r="L20" s="32">
        <f t="shared" si="4"/>
        <v>3.4435261707988987E-4</v>
      </c>
      <c r="O20" s="6">
        <f t="shared" si="5"/>
        <v>1.32E-2</v>
      </c>
      <c r="P20" s="40">
        <f t="shared" si="6"/>
        <v>2.5252525252525242</v>
      </c>
      <c r="Q20" s="27">
        <f t="shared" si="7"/>
        <v>3.4965034965034962</v>
      </c>
      <c r="R20" s="54">
        <f t="shared" si="8"/>
        <v>1.2626262626262621</v>
      </c>
      <c r="S20" s="51">
        <f t="shared" si="8"/>
        <v>1.7482517482517479</v>
      </c>
      <c r="T20" s="1" t="s">
        <v>17</v>
      </c>
    </row>
    <row r="21" spans="10:20" ht="21.75" thickBot="1" x14ac:dyDescent="0.4">
      <c r="J21" s="7">
        <f t="shared" si="9"/>
        <v>1.7599999999999998E-2</v>
      </c>
      <c r="K21" s="34">
        <f t="shared" si="4"/>
        <v>2.2000306091215184E-4</v>
      </c>
      <c r="L21" s="34">
        <f t="shared" si="4"/>
        <v>2.5826446280991736E-4</v>
      </c>
      <c r="O21" s="6">
        <f>L8/2</f>
        <v>4.3999999999999994E-3</v>
      </c>
      <c r="P21" s="40">
        <f t="shared" si="6"/>
        <v>2.8409090909090899</v>
      </c>
      <c r="Q21" s="27">
        <f t="shared" si="7"/>
        <v>4.1322314049586772</v>
      </c>
      <c r="R21" s="50">
        <f t="shared" si="8"/>
        <v>1.4204545454545447</v>
      </c>
      <c r="S21" s="51">
        <f t="shared" si="8"/>
        <v>2.0661157024793386</v>
      </c>
    </row>
    <row r="22" spans="10:20" ht="21" x14ac:dyDescent="0.35">
      <c r="O22" s="6">
        <f t="shared" ref="O22:O23" si="10">L9/2</f>
        <v>6.5999999999999991E-3</v>
      </c>
      <c r="P22" s="40">
        <f t="shared" si="6"/>
        <v>2.7548209366391179</v>
      </c>
      <c r="Q22" s="27">
        <f t="shared" si="7"/>
        <v>3.9525691699604741</v>
      </c>
      <c r="R22" s="50">
        <f t="shared" si="8"/>
        <v>1.3774104683195587</v>
      </c>
      <c r="S22" s="51">
        <f t="shared" si="8"/>
        <v>1.9762845849802368</v>
      </c>
    </row>
    <row r="23" spans="10:20" ht="21.75" thickBot="1" x14ac:dyDescent="0.4">
      <c r="O23" s="7">
        <f t="shared" si="10"/>
        <v>8.7999999999999988E-3</v>
      </c>
      <c r="P23" s="41">
        <f t="shared" si="6"/>
        <v>2.6737967914438494</v>
      </c>
      <c r="Q23" s="39">
        <f t="shared" si="7"/>
        <v>3.7878787878787876</v>
      </c>
      <c r="R23" s="52">
        <f t="shared" si="8"/>
        <v>1.3368983957219245</v>
      </c>
      <c r="S23" s="53">
        <f>$R$15/(($A$6/(1-S$17))+$O23)</f>
        <v>1.8939393939393936</v>
      </c>
    </row>
  </sheetData>
  <mergeCells count="12">
    <mergeCell ref="P15:Q15"/>
    <mergeCell ref="R15:S15"/>
    <mergeCell ref="P16:Q16"/>
    <mergeCell ref="R16:S16"/>
    <mergeCell ref="K6:L6"/>
    <mergeCell ref="J5:L5"/>
    <mergeCell ref="P6:Q6"/>
    <mergeCell ref="O5:Q5"/>
    <mergeCell ref="J13:L13"/>
    <mergeCell ref="K14:L14"/>
    <mergeCell ref="O13:S13"/>
    <mergeCell ref="P14:S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2021-10-15T08:27:41Z</dcterms:modified>
</cp:coreProperties>
</file>