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filterPrivacy="1"/>
  <xr:revisionPtr revIDLastSave="703" documentId="8_{735A418F-4DFE-4C83-A61F-4BF625C27643}" xr6:coauthVersionLast="45" xr6:coauthVersionMax="45" xr10:uidLastSave="{EB71B352-F51F-4BE7-A552-38C10A5B2D3F}"/>
  <bookViews>
    <workbookView xWindow="28680" yWindow="-120" windowWidth="29040" windowHeight="15840" activeTab="1" xr2:uid="{00000000-000D-0000-FFFF-FFFF00000000}"/>
  </bookViews>
  <sheets>
    <sheet name="Graphique1" sheetId="2" r:id="rId1"/>
    <sheet name="Feuil1" sheetId="1" r:id="rId2"/>
  </sheets>
  <definedNames>
    <definedName name="_xlnm.Print_Area" localSheetId="1">Feuil1!$A$1:$G$84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50" i="1" l="1"/>
  <c r="E56" i="1"/>
  <c r="E55" i="1"/>
  <c r="E54" i="1"/>
  <c r="E53" i="1"/>
  <c r="E52" i="1"/>
  <c r="F52" i="1" l="1"/>
  <c r="E48" i="1"/>
  <c r="E39" i="1"/>
  <c r="E38" i="1"/>
  <c r="E36" i="1" l="1"/>
  <c r="E29" i="1" l="1"/>
  <c r="E13" i="1"/>
  <c r="E3" i="1"/>
  <c r="E4" i="1"/>
  <c r="E6" i="1"/>
  <c r="E5" i="1"/>
  <c r="E81" i="1" l="1"/>
  <c r="E80" i="1"/>
  <c r="E79" i="1" l="1"/>
  <c r="F79" i="1" s="1"/>
  <c r="E71" i="1" l="1"/>
  <c r="E70" i="1"/>
  <c r="E69" i="1"/>
  <c r="E67" i="1" l="1"/>
  <c r="E66" i="1"/>
  <c r="E65" i="1"/>
  <c r="E42" i="1" l="1"/>
  <c r="E43" i="1"/>
  <c r="E35" i="1" l="1"/>
  <c r="E28" i="1" l="1"/>
  <c r="E27" i="1" l="1"/>
  <c r="E26" i="1" l="1"/>
  <c r="E25" i="1"/>
  <c r="E23" i="1" l="1"/>
  <c r="E22" i="1"/>
  <c r="E21" i="1" l="1"/>
  <c r="E31" i="1" l="1"/>
  <c r="E32" i="1"/>
  <c r="E20" i="1"/>
  <c r="F31" i="1" l="1"/>
  <c r="E19" i="1"/>
  <c r="E18" i="1" l="1"/>
  <c r="E17" i="1" l="1"/>
  <c r="E16" i="1" l="1"/>
  <c r="E15" i="1" l="1"/>
  <c r="E14" i="1"/>
  <c r="E12" i="1" l="1"/>
  <c r="E11" i="1" l="1"/>
  <c r="F14" i="1"/>
  <c r="E10" i="1"/>
  <c r="E9" i="1"/>
  <c r="E8" i="1"/>
  <c r="E7" i="1" l="1"/>
  <c r="F3" i="1" l="1"/>
  <c r="E83" i="1" l="1"/>
  <c r="E82" i="1"/>
  <c r="F82" i="1" l="1"/>
  <c r="E78" i="1" l="1"/>
  <c r="E76" i="1" l="1"/>
  <c r="E74" i="1" l="1"/>
  <c r="E73" i="1"/>
  <c r="E75" i="1"/>
  <c r="F75" i="1" s="1"/>
  <c r="E64" i="1" l="1"/>
  <c r="E60" i="1" l="1"/>
  <c r="E59" i="1"/>
  <c r="E58" i="1"/>
  <c r="E57" i="1"/>
  <c r="E51" i="1"/>
  <c r="E50" i="1"/>
  <c r="E49" i="1" l="1"/>
  <c r="E47" i="1"/>
  <c r="E46" i="1"/>
  <c r="E40" i="1" l="1"/>
  <c r="F61" i="1" l="1"/>
  <c r="F25" i="1"/>
  <c r="F7" i="1" l="1"/>
  <c r="F16" i="1"/>
  <c r="F20" i="1"/>
  <c r="F22" i="1"/>
  <c r="F28" i="1"/>
  <c r="E34" i="1"/>
  <c r="E37" i="1"/>
  <c r="F37" i="1" s="1"/>
  <c r="E41" i="1"/>
  <c r="E44" i="1"/>
  <c r="E45" i="1"/>
  <c r="F45" i="1" s="1"/>
  <c r="E61" i="1"/>
  <c r="E62" i="1"/>
  <c r="E63" i="1"/>
  <c r="F63" i="1" s="1"/>
  <c r="E68" i="1"/>
  <c r="F68" i="1" s="1"/>
  <c r="E72" i="1"/>
  <c r="F72" i="1" s="1"/>
  <c r="E77" i="1"/>
  <c r="F77" i="1" s="1"/>
  <c r="E84" i="1"/>
  <c r="F34" i="1" l="1"/>
  <c r="F18" i="1"/>
  <c r="F41" i="1"/>
  <c r="F12" i="1"/>
  <c r="F84" i="1" l="1"/>
</calcChain>
</file>

<file path=xl/sharedStrings.xml><?xml version="1.0" encoding="utf-8"?>
<sst xmlns="http://schemas.openxmlformats.org/spreadsheetml/2006/main" count="94" uniqueCount="57">
  <si>
    <t>Dates</t>
  </si>
  <si>
    <t>Avancement</t>
  </si>
  <si>
    <t>de</t>
  </si>
  <si>
    <t>à</t>
  </si>
  <si>
    <t>total d'heures</t>
  </si>
  <si>
    <t>total h/j</t>
  </si>
  <si>
    <t>Note</t>
  </si>
  <si>
    <t>Total</t>
  </si>
  <si>
    <t>Vérification du bon fonctionnement de l'environnement MPLABX</t>
  </si>
  <si>
    <t>Implémentation environement de dev</t>
  </si>
  <si>
    <t>Mise au point avec Mr Merlini</t>
  </si>
  <si>
    <t>Dicussions sur l'avancement du projet</t>
  </si>
  <si>
    <t>Gestion de la documentation</t>
  </si>
  <si>
    <t>Création du Journal de travail</t>
  </si>
  <si>
    <t>Mise à jour du journal de travail</t>
  </si>
  <si>
    <t>Test cartes et documentation des résutats</t>
  </si>
  <si>
    <t>Prise en main du projet</t>
  </si>
  <si>
    <t>Lecture de la documentation</t>
  </si>
  <si>
    <t>Mise en place du git sur le PC</t>
  </si>
  <si>
    <t>Mise en place de l'environnement de dev</t>
  </si>
  <si>
    <t>Problème avec la sonde de programmation, le programme ne veut pas se mettre sur la carte. "Target Device ID (0x0) is an Invalid Device ID. Please check your connections to the Target Device."</t>
  </si>
  <si>
    <t>Suite test cartes et documentation des résultat</t>
  </si>
  <si>
    <t>Réglage du problème de la sonde. Il faut maintenir appuyer le bouton S1 pendant la programmation de la carte.</t>
  </si>
  <si>
    <t>Fin des tests et de la documentation des résultats</t>
  </si>
  <si>
    <t>Vérification des cartes au microscope</t>
  </si>
  <si>
    <t>Mise à jour du document du test des cartes</t>
  </si>
  <si>
    <t>Certains problèmes identifiés et d'autres non</t>
  </si>
  <si>
    <t>Fin de programmation du chenillard</t>
  </si>
  <si>
    <t>J'ai remarqué que la façon d'on était fait le code que le appdata.firstTime était utilisé a chaque itération et cela demandrait un gros changement dans le code pour l'utilisé différamment.</t>
  </si>
  <si>
    <t>Test nouvelles cartes et documentation des résutats</t>
  </si>
  <si>
    <t>Identification des problème hardware des nouvelles cartes et corrections des problèmes</t>
  </si>
  <si>
    <t>Analyse du code pour la machine d'état et création de la machine d'état du code</t>
  </si>
  <si>
    <t>Programmation du chenillard et test de plusieurs versions différentes</t>
  </si>
  <si>
    <t>Les différents tests ont été fait pour pouvoir géré le chenillard avec le appdata.FirstTime</t>
  </si>
  <si>
    <t>Test du chenillards sur les différentes carte et remplissage du tableau de résultat sur le document word</t>
  </si>
  <si>
    <t>Création d'une machine d'état de proposition de modification du code</t>
  </si>
  <si>
    <t>Légère modification du code : Dans le APP_Kill, j'ai déplacé le break en dehors du if.</t>
  </si>
  <si>
    <t>A voir s'il reste des choses a améliorer</t>
  </si>
  <si>
    <t>Meeting avec Mr Merlini concernant l'avancement du projet</t>
  </si>
  <si>
    <t>Decisions prises : Mise des machines d'état sur le git, Implémentation de la machine d'état [Etat sleep + test( le chenillard doit s'activer que lorsque l'on enléve et on remet la pile ou lors du reset avec le bouton)], Correction et ajout de commentaires dans le code (Secondaire)</t>
  </si>
  <si>
    <t>Modification de la machine d'état</t>
  </si>
  <si>
    <t>Début de l'implémentation du mode sleep</t>
  </si>
  <si>
    <t>Mise en commentaire de l'état kill et ajout de l'état sleep</t>
  </si>
  <si>
    <t>Suite de l'implémentation du mode sleep</t>
  </si>
  <si>
    <t>Réglage des problème de connexion de mon debugeur</t>
  </si>
  <si>
    <t>Bataille avec MPLAB X IDE et MPLAB IPE pour que le débugeur MPLAB ICD 4 soit vu et utilisable par MPLAB X IDE</t>
  </si>
  <si>
    <t>Lecture de documentation sur l'accelerometre MC3419</t>
  </si>
  <si>
    <t>Le mode sleep passe dans l'état APP_WAIT_FOR_INT</t>
  </si>
  <si>
    <t>Modification de l'état sleep</t>
  </si>
  <si>
    <t>Création de l'état sleep en se basant sur l'état kill + tests et modifications pour tester s'il fonctionne. Le programme fonctionne mais une fois l'initialisation faite un chiffre s'affiche et il est remplacer par un autre chiffre et cela en boucle.</t>
  </si>
  <si>
    <t>Tests du programme et modification.</t>
  </si>
  <si>
    <t>Suite de l'implémentation du mode sleep et tests</t>
  </si>
  <si>
    <t>Tests de toutes les cartes Dé.</t>
  </si>
  <si>
    <t>Le programme "fonctionne" mais on ne peut pas mettre le MCU en mode Sleep (POWER_HOLD = 0 dans le code) sans que cela reset ledit MCU.</t>
  </si>
  <si>
    <t>Flash de la dernière version du code et test du bon fonctionnement des cartes.</t>
  </si>
  <si>
    <t>Création et remplissage du fichier de modifications</t>
  </si>
  <si>
    <t>Mise à jour du document "2113_DeElectronique_V4_Résultats des tests cartes dé" avec les derniers tests des cartes.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</si>
</sst>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
  </numFmts>
  <fonts count="1" x14ac:knownFonts="1">
    <font>
      <sz val="11"/>
      <color theme="1"/>
      <name val="Calibri"/>
      <family val="2"/>
      <scheme val="minor"/>
    </font>
  </fonts>
  <fills count="6">
    <fill>
      <patternFill patternType="none"/>
    </fill>
    <fill>
      <patternFill patternType="gray125"/>
    </fill>
    <fill>
      <patternFill patternType="solid">
        <fgColor theme="2" tint="-9.9978637043366805E-2"/>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4">
    <xf numFmtId="0" fontId="0" fillId="0" borderId="0" xfId="0"/>
    <xf numFmtId="0" fontId="0" fillId="0" borderId="0" xfId="0" applyAlignment="1">
      <alignment horizontal="center" vertical="center"/>
    </xf>
    <xf numFmtId="0" fontId="0" fillId="0" borderId="0" xfId="0" applyFill="1" applyAlignment="1">
      <alignment horizontal="center" vertical="center"/>
    </xf>
    <xf numFmtId="14" fontId="0" fillId="0" borderId="1" xfId="0" applyNumberFormat="1" applyFill="1" applyBorder="1" applyAlignment="1">
      <alignment horizontal="center" vertical="center"/>
    </xf>
    <xf numFmtId="0" fontId="0" fillId="0" borderId="0" xfId="0" applyFill="1" applyBorder="1" applyAlignment="1">
      <alignment horizontal="center" vertical="center"/>
    </xf>
    <xf numFmtId="20" fontId="0" fillId="0" borderId="1" xfId="0" applyNumberFormat="1" applyBorder="1" applyAlignment="1">
      <alignment horizontal="center" vertical="center"/>
    </xf>
    <xf numFmtId="14" fontId="0" fillId="2" borderId="1" xfId="0" applyNumberFormat="1" applyFill="1" applyBorder="1" applyAlignment="1">
      <alignment horizontal="center" vertical="center"/>
    </xf>
    <xf numFmtId="20" fontId="0" fillId="2" borderId="1" xfId="0" applyNumberFormat="1" applyFill="1" applyBorder="1" applyAlignment="1">
      <alignment horizontal="center" vertical="center"/>
    </xf>
    <xf numFmtId="14" fontId="0" fillId="3" borderId="1" xfId="0" applyNumberFormat="1" applyFill="1" applyBorder="1" applyAlignment="1">
      <alignment horizontal="center" vertical="center"/>
    </xf>
    <xf numFmtId="0" fontId="0" fillId="3" borderId="1" xfId="0" applyFill="1" applyBorder="1" applyAlignment="1">
      <alignment horizontal="center" vertical="center"/>
    </xf>
    <xf numFmtId="20" fontId="0" fillId="3" borderId="1" xfId="0" applyNumberFormat="1" applyFill="1" applyBorder="1" applyAlignment="1">
      <alignment horizontal="center" vertical="center"/>
    </xf>
    <xf numFmtId="14" fontId="0" fillId="4" borderId="1" xfId="0" applyNumberFormat="1" applyFill="1" applyBorder="1" applyAlignment="1">
      <alignment horizontal="center" vertical="center"/>
    </xf>
    <xf numFmtId="0" fontId="0" fillId="4" borderId="1" xfId="0" applyFill="1" applyBorder="1" applyAlignment="1">
      <alignment horizontal="center" vertical="center"/>
    </xf>
    <xf numFmtId="20" fontId="0" fillId="4" borderId="1" xfId="0" applyNumberFormat="1" applyFill="1" applyBorder="1" applyAlignment="1">
      <alignment horizontal="center" vertical="center"/>
    </xf>
    <xf numFmtId="20" fontId="0" fillId="0" borderId="1" xfId="0" applyNumberFormat="1" applyFill="1" applyBorder="1" applyAlignment="1">
      <alignment horizontal="center" vertical="center"/>
    </xf>
    <xf numFmtId="0" fontId="0" fillId="0" borderId="1" xfId="0" applyBorder="1" applyAlignment="1">
      <alignment horizontal="center" vertical="center" wrapText="1"/>
    </xf>
    <xf numFmtId="0" fontId="0" fillId="4" borderId="1" xfId="0" applyFill="1" applyBorder="1" applyAlignment="1">
      <alignment horizontal="center" vertical="center" wrapText="1"/>
    </xf>
    <xf numFmtId="14" fontId="0" fillId="0" borderId="1" xfId="0" applyNumberFormat="1" applyFill="1" applyBorder="1" applyAlignment="1">
      <alignment horizontal="center" vertical="center" wrapText="1"/>
    </xf>
    <xf numFmtId="0" fontId="0" fillId="0" borderId="1" xfId="0" applyFill="1" applyBorder="1" applyAlignment="1">
      <alignment horizontal="center" vertical="center" wrapText="1"/>
    </xf>
    <xf numFmtId="164" fontId="0" fillId="3" borderId="1" xfId="0" applyNumberFormat="1" applyFill="1" applyBorder="1" applyAlignment="1">
      <alignment horizontal="center" vertical="center"/>
    </xf>
    <xf numFmtId="164" fontId="0" fillId="0" borderId="1" xfId="0" applyNumberFormat="1" applyBorder="1" applyAlignment="1">
      <alignment horizontal="center" vertical="center"/>
    </xf>
    <xf numFmtId="164" fontId="0" fillId="4" borderId="1" xfId="0" applyNumberFormat="1" applyFill="1" applyBorder="1" applyAlignment="1">
      <alignment horizontal="center" vertical="center"/>
    </xf>
    <xf numFmtId="164" fontId="0" fillId="2" borderId="1" xfId="0" applyNumberFormat="1" applyFill="1" applyBorder="1" applyAlignment="1">
      <alignment horizontal="center" vertical="center"/>
    </xf>
    <xf numFmtId="164" fontId="0" fillId="0" borderId="1" xfId="0" applyNumberFormat="1" applyFill="1" applyBorder="1" applyAlignment="1">
      <alignment horizontal="center" vertical="center"/>
    </xf>
    <xf numFmtId="164" fontId="0" fillId="0" borderId="0" xfId="0" applyNumberFormat="1" applyAlignment="1">
      <alignment horizontal="center" vertical="center"/>
    </xf>
    <xf numFmtId="20" fontId="0" fillId="4" borderId="1" xfId="0" applyNumberFormat="1" applyFill="1" applyBorder="1" applyAlignment="1">
      <alignment horizontal="center" vertical="center" wrapText="1"/>
    </xf>
    <xf numFmtId="0" fontId="0" fillId="3" borderId="1" xfId="0" applyFill="1" applyBorder="1" applyAlignment="1">
      <alignment horizontal="center" vertical="center" wrapText="1"/>
    </xf>
    <xf numFmtId="0" fontId="0" fillId="2" borderId="1" xfId="0" applyFill="1" applyBorder="1" applyAlignment="1">
      <alignment horizontal="center" vertical="center" wrapText="1"/>
    </xf>
    <xf numFmtId="20" fontId="0" fillId="0" borderId="1" xfId="0" applyNumberFormat="1" applyBorder="1" applyAlignment="1">
      <alignment horizontal="center" vertical="center" wrapText="1"/>
    </xf>
    <xf numFmtId="0" fontId="0" fillId="0" borderId="0" xfId="0" applyAlignment="1">
      <alignment horizontal="center" vertical="center" wrapText="1"/>
    </xf>
    <xf numFmtId="20" fontId="0" fillId="2" borderId="1" xfId="0" applyNumberFormat="1" applyFill="1" applyBorder="1" applyAlignment="1">
      <alignment horizontal="center" vertical="center" wrapText="1"/>
    </xf>
    <xf numFmtId="0" fontId="0" fillId="5" borderId="1" xfId="0" applyFill="1" applyBorder="1" applyAlignment="1">
      <alignment horizontal="center" vertical="center" wrapText="1"/>
    </xf>
    <xf numFmtId="20" fontId="0" fillId="5" borderId="1" xfId="0" applyNumberFormat="1" applyFill="1" applyBorder="1" applyAlignment="1">
      <alignment horizontal="center" vertical="center" wrapText="1"/>
    </xf>
    <xf numFmtId="20" fontId="0" fillId="0" borderId="1" xfId="0" applyNumberForma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1.xml"/><Relationship Id="rId1" Type="http://schemas.openxmlformats.org/officeDocument/2006/relationships/chartsheet" Target="chart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Feuil1!$G$2:$G$37</c:f>
              <c:strCache>
                <c:ptCount val="36"/>
                <c:pt idx="0">
                  <c:v>Note</c:v>
                </c:pt>
                <c:pt idx="5">
                  <c:v>Vérification du bon fonctionnement de l'environnement MPLABX</c:v>
                </c:pt>
                <c:pt idx="6">
                  <c:v>Création du Journal de travail</c:v>
                </c:pt>
                <c:pt idx="7">
                  <c:v>Dicussions sur l'avancement du projet</c:v>
                </c:pt>
                <c:pt idx="8">
                  <c:v>Mise à jour du journal de travail</c:v>
                </c:pt>
                <c:pt idx="9">
                  <c:v>Problème avec la sonde de programmation, le programme ne veut pas se mettre sur la carte. "Target Device ID (0x0) is an Invalid Device ID. Please check your connections to the Target Device."</c:v>
                </c:pt>
                <c:pt idx="10">
                  <c:v>Mise à jour du journal de travail</c:v>
                </c:pt>
                <c:pt idx="11">
                  <c:v>Problème avec la sonde de programmation, le programme ne veut pas se mettre sur la carte. "Target Device ID (0x0) is an Invalid Device ID. Please check your connections to the Target Device."</c:v>
                </c:pt>
                <c:pt idx="12">
                  <c:v>Réglage du problème de la sonde. Il faut maintenir appuyer le bouton S1 pendant la programmation de la carte.</c:v>
                </c:pt>
                <c:pt idx="13">
                  <c:v>Fin des tests et de la documentation des résultats</c:v>
                </c:pt>
                <c:pt idx="14">
                  <c:v>Certains problèmes identifiés et d'autres non</c:v>
                </c:pt>
                <c:pt idx="16">
                  <c:v>Mise à jour du journal de travail</c:v>
                </c:pt>
                <c:pt idx="18">
                  <c:v>Mise à jour du journal de travail</c:v>
                </c:pt>
                <c:pt idx="20">
                  <c:v>Mise à jour du journal de travail</c:v>
                </c:pt>
                <c:pt idx="23">
                  <c:v>Mise à jour du journal de travail</c:v>
                </c:pt>
                <c:pt idx="24">
                  <c:v>Les différents tests ont été fait pour pouvoir géré le chenillard avec le appdata.FirstTime</c:v>
                </c:pt>
                <c:pt idx="25">
                  <c:v>J'ai remarqué que la façon d'on était fait le code que le appdata.firstTime était utilisé a chaque itération et cela demandrait un gros changement dans le code pour l'utilisé différamment.</c:v>
                </c:pt>
                <c:pt idx="26">
                  <c:v>Mise à jour du journal de travail</c:v>
                </c:pt>
                <c:pt idx="29">
                  <c:v>Mise à jour du journal de travail</c:v>
                </c:pt>
                <c:pt idx="32">
                  <c:v>Mise à jour du journal de travail</c:v>
                </c:pt>
                <c:pt idx="33">
                  <c:v>Légère modification du code : Dans le APP_Kill, j'ai déplacé le break en dehors du if.</c:v>
                </c:pt>
                <c:pt idx="34">
                  <c:v>A voir s'il reste des choses a améliorer</c:v>
                </c:pt>
                <c:pt idx="35">
                  <c:v>Mise à jour du journal de travail</c:v>
                </c:pt>
              </c:strCache>
            </c:strRef>
          </c:tx>
          <c:spPr>
            <a:solidFill>
              <a:schemeClr val="accent1"/>
            </a:solidFill>
            <a:ln>
              <a:noFill/>
            </a:ln>
            <a:effectLst/>
          </c:spPr>
          <c:invertIfNegative val="0"/>
          <c:cat>
            <c:multiLvlStrRef>
              <c:f>Feuil1!$A$40:$F$84</c:f>
              <c:multiLvlStrCache>
                <c:ptCount val="45"/>
                <c:lvl>
                  <c:pt idx="1">
                    <c:v>1:28</c:v>
                  </c:pt>
                  <c:pt idx="5">
                    <c:v>1:25</c:v>
                  </c:pt>
                  <c:pt idx="10">
                    <c:v>1:25</c:v>
                  </c:pt>
                  <c:pt idx="12">
                    <c:v>5:47</c:v>
                  </c:pt>
                  <c:pt idx="21">
                    <c:v>0:00</c:v>
                  </c:pt>
                  <c:pt idx="23">
                    <c:v>0:00</c:v>
                  </c:pt>
                  <c:pt idx="28">
                    <c:v>0:00</c:v>
                  </c:pt>
                  <c:pt idx="32">
                    <c:v>0:00</c:v>
                  </c:pt>
                  <c:pt idx="35">
                    <c:v>0:00</c:v>
                  </c:pt>
                  <c:pt idx="37">
                    <c:v>0:00</c:v>
                  </c:pt>
                  <c:pt idx="39">
                    <c:v>0:00</c:v>
                  </c:pt>
                  <c:pt idx="42">
                    <c:v>0:00</c:v>
                  </c:pt>
                  <c:pt idx="44">
                    <c:v>21:02</c:v>
                  </c:pt>
                </c:lvl>
                <c:lvl>
                  <c:pt idx="0">
                    <c:v>00:07</c:v>
                  </c:pt>
                  <c:pt idx="1">
                    <c:v>00:08</c:v>
                  </c:pt>
                  <c:pt idx="2">
                    <c:v>00:50</c:v>
                  </c:pt>
                  <c:pt idx="3">
                    <c:v>00:30</c:v>
                  </c:pt>
                  <c:pt idx="4">
                    <c:v>00:00</c:v>
                  </c:pt>
                  <c:pt idx="5">
                    <c:v>00:07</c:v>
                  </c:pt>
                  <c:pt idx="6">
                    <c:v>00:20</c:v>
                  </c:pt>
                  <c:pt idx="7">
                    <c:v>00:33</c:v>
                  </c:pt>
                  <c:pt idx="8">
                    <c:v>00:25</c:v>
                  </c:pt>
                  <c:pt idx="9">
                    <c:v>00:00</c:v>
                  </c:pt>
                  <c:pt idx="10">
                    <c:v>00:25</c:v>
                  </c:pt>
                  <c:pt idx="11">
                    <c:v>01:00</c:v>
                  </c:pt>
                  <c:pt idx="12">
                    <c:v>00:10</c:v>
                  </c:pt>
                  <c:pt idx="13">
                    <c:v>02:50</c:v>
                  </c:pt>
                  <c:pt idx="14">
                    <c:v>00:45</c:v>
                  </c:pt>
                  <c:pt idx="15">
                    <c:v>01:00</c:v>
                  </c:pt>
                  <c:pt idx="16">
                    <c:v>01:02</c:v>
                  </c:pt>
                  <c:pt idx="17">
                    <c:v>00:00</c:v>
                  </c:pt>
                  <c:pt idx="18">
                    <c:v>00:00</c:v>
                  </c:pt>
                  <c:pt idx="19">
                    <c:v>00:00</c:v>
                  </c:pt>
                  <c:pt idx="20">
                    <c:v>00:00</c:v>
                  </c:pt>
                  <c:pt idx="21">
                    <c:v>00:00</c:v>
                  </c:pt>
                  <c:pt idx="22">
                    <c:v>00:00</c:v>
                  </c:pt>
                  <c:pt idx="23">
                    <c:v>00:00</c:v>
                  </c:pt>
                  <c:pt idx="24">
                    <c:v>00:00</c:v>
                  </c:pt>
                  <c:pt idx="25">
                    <c:v>00:00</c:v>
                  </c:pt>
                  <c:pt idx="26">
                    <c:v>00:00</c:v>
                  </c:pt>
                  <c:pt idx="27">
                    <c:v>00:00</c:v>
                  </c:pt>
                  <c:pt idx="28">
                    <c:v>00:00</c:v>
                  </c:pt>
                  <c:pt idx="29">
                    <c:v>00:00</c:v>
                  </c:pt>
                  <c:pt idx="30">
                    <c:v>00:00</c:v>
                  </c:pt>
                  <c:pt idx="31">
                    <c:v>00:00</c:v>
                  </c:pt>
                  <c:pt idx="32">
                    <c:v>00:00</c:v>
                  </c:pt>
                  <c:pt idx="33">
                    <c:v>00:00</c:v>
                  </c:pt>
                  <c:pt idx="34">
                    <c:v>00:00</c:v>
                  </c:pt>
                  <c:pt idx="35">
                    <c:v>00:00</c:v>
                  </c:pt>
                  <c:pt idx="36">
                    <c:v>00:00</c:v>
                  </c:pt>
                  <c:pt idx="37">
                    <c:v>00:00</c:v>
                  </c:pt>
                  <c:pt idx="38">
                    <c:v>00:00</c:v>
                  </c:pt>
                  <c:pt idx="39">
                    <c:v>00:00</c:v>
                  </c:pt>
                  <c:pt idx="40">
                    <c:v>00:00</c:v>
                  </c:pt>
                  <c:pt idx="41">
                    <c:v>00:00</c:v>
                  </c:pt>
                  <c:pt idx="42">
                    <c:v>00:00</c:v>
                  </c:pt>
                  <c:pt idx="43">
                    <c:v>00:00</c:v>
                  </c:pt>
                  <c:pt idx="44">
                    <c:v>00:00</c:v>
                  </c:pt>
                </c:lvl>
                <c:lvl>
                  <c:pt idx="0">
                    <c:v>09:35</c:v>
                  </c:pt>
                  <c:pt idx="1">
                    <c:v>09:35</c:v>
                  </c:pt>
                  <c:pt idx="2">
                    <c:v>08:50</c:v>
                  </c:pt>
                  <c:pt idx="3">
                    <c:v>09:25</c:v>
                  </c:pt>
                  <c:pt idx="5">
                    <c:v>09:35</c:v>
                  </c:pt>
                  <c:pt idx="6">
                    <c:v>08:25</c:v>
                  </c:pt>
                  <c:pt idx="7">
                    <c:v>09:00</c:v>
                  </c:pt>
                  <c:pt idx="8">
                    <c:v>09:25</c:v>
                  </c:pt>
                  <c:pt idx="10">
                    <c:v>08:30</c:v>
                  </c:pt>
                  <c:pt idx="11">
                    <c:v>09:35</c:v>
                  </c:pt>
                  <c:pt idx="12">
                    <c:v>13:50</c:v>
                  </c:pt>
                  <c:pt idx="13">
                    <c:v>11:40</c:v>
                  </c:pt>
                  <c:pt idx="14">
                    <c:v>13:00</c:v>
                  </c:pt>
                  <c:pt idx="15">
                    <c:v>14:05</c:v>
                  </c:pt>
                  <c:pt idx="16">
                    <c:v>15:12</c:v>
                  </c:pt>
                </c:lvl>
                <c:lvl>
                  <c:pt idx="0">
                    <c:v>09:28</c:v>
                  </c:pt>
                  <c:pt idx="1">
                    <c:v>09:27</c:v>
                  </c:pt>
                  <c:pt idx="2">
                    <c:v>08:00</c:v>
                  </c:pt>
                  <c:pt idx="3">
                    <c:v>08:55</c:v>
                  </c:pt>
                  <c:pt idx="5">
                    <c:v>09:28</c:v>
                  </c:pt>
                  <c:pt idx="6">
                    <c:v>08:05</c:v>
                  </c:pt>
                  <c:pt idx="7">
                    <c:v>08:27</c:v>
                  </c:pt>
                  <c:pt idx="8">
                    <c:v>09:00</c:v>
                  </c:pt>
                  <c:pt idx="10">
                    <c:v>08:05</c:v>
                  </c:pt>
                  <c:pt idx="11">
                    <c:v>08:35</c:v>
                  </c:pt>
                  <c:pt idx="12">
                    <c:v>13:40</c:v>
                  </c:pt>
                  <c:pt idx="13">
                    <c:v>08:50</c:v>
                  </c:pt>
                  <c:pt idx="14">
                    <c:v>12:15</c:v>
                  </c:pt>
                  <c:pt idx="15">
                    <c:v>13:05</c:v>
                  </c:pt>
                  <c:pt idx="16">
                    <c:v>14:10</c:v>
                  </c:pt>
                </c:lvl>
                <c:lvl>
                  <c:pt idx="0">
                    <c:v>Début de l'implémentation du mode sleep</c:v>
                  </c:pt>
                  <c:pt idx="1">
                    <c:v>Gestion de la documentation</c:v>
                  </c:pt>
                  <c:pt idx="2">
                    <c:v>Suite de l'implémentation du mode sleep</c:v>
                  </c:pt>
                  <c:pt idx="3">
                    <c:v>Réglage des problème de connexion de mon debugeur</c:v>
                  </c:pt>
                  <c:pt idx="5">
                    <c:v>Gestion de la documentation</c:v>
                  </c:pt>
                  <c:pt idx="6">
                    <c:v>Modification de la machine d'état</c:v>
                  </c:pt>
                  <c:pt idx="7">
                    <c:v>Lecture de documentation sur l'accelerometre MC3419</c:v>
                  </c:pt>
                  <c:pt idx="8">
                    <c:v>Modification de l'état sleep</c:v>
                  </c:pt>
                  <c:pt idx="10">
                    <c:v>Gestion de la documentation</c:v>
                  </c:pt>
                  <c:pt idx="11">
                    <c:v>Suite de l'implémentation du mode sleep</c:v>
                  </c:pt>
                  <c:pt idx="12">
                    <c:v>Gestion de la documentation</c:v>
                  </c:pt>
                  <c:pt idx="13">
                    <c:v>Suite de l'implémentation du mode sleep et tests</c:v>
                  </c:pt>
                  <c:pt idx="14">
                    <c:v>Tests de toutes les cartes Dé.</c:v>
                  </c:pt>
                  <c:pt idx="15">
                    <c:v>Gestion de la documentation</c:v>
                  </c:pt>
                  <c:pt idx="16">
                    <c:v>Gestion de la documentation</c:v>
                  </c:pt>
                </c:lvl>
                <c:lvl>
                  <c:pt idx="1">
                    <c:v>13.05.2026</c:v>
                  </c:pt>
                  <c:pt idx="5">
                    <c:v>20.05.2026</c:v>
                  </c:pt>
                  <c:pt idx="10">
                    <c:v>27.05.2026</c:v>
                  </c:pt>
                  <c:pt idx="44">
                    <c:v>Total</c:v>
                  </c:pt>
                </c:lvl>
              </c:multiLvlStrCache>
            </c:multiLvlStrRef>
          </c:cat>
          <c:val>
            <c:numRef>
              <c:f>Feuil1!$G$40:$G$84</c:f>
              <c:numCache>
                <c:formatCode>General</c:formatCode>
                <c:ptCount val="45"/>
                <c:pt idx="0">
                  <c:v>0</c:v>
                </c:pt>
                <c:pt idx="1">
                  <c:v>0</c:v>
                </c:pt>
                <c:pt idx="2">
                  <c:v>0</c:v>
                </c:pt>
                <c:pt idx="3">
                  <c:v>0</c:v>
                </c:pt>
                <c:pt idx="5">
                  <c:v>0</c:v>
                </c:pt>
                <c:pt idx="6">
                  <c:v>0</c:v>
                </c:pt>
                <c:pt idx="8">
                  <c:v>0</c:v>
                </c:pt>
                <c:pt idx="10">
                  <c:v>0</c:v>
                </c:pt>
                <c:pt idx="11">
                  <c:v>0</c:v>
                </c:pt>
                <c:pt idx="12">
                  <c:v>0</c:v>
                </c:pt>
                <c:pt idx="13" formatCode="m/d/yyyy">
                  <c:v>0</c:v>
                </c:pt>
                <c:pt idx="14" formatCode="m/d/yyyy">
                  <c:v>0</c:v>
                </c:pt>
                <c:pt idx="15" formatCode="m/d/yyyy">
                  <c:v>0</c:v>
                </c:pt>
                <c:pt idx="16" formatCode="m/d/yyyy">
                  <c:v>0</c:v>
                </c:pt>
              </c:numCache>
            </c:numRef>
          </c:val>
          <c:extLst>
            <c:ext xmlns:c16="http://schemas.microsoft.com/office/drawing/2014/chart" uri="{C3380CC4-5D6E-409C-BE32-E72D297353CC}">
              <c16:uniqueId val="{00000000-4420-4496-B370-9A84670C407F}"/>
            </c:ext>
          </c:extLst>
        </c:ser>
        <c:dLbls>
          <c:showLegendKey val="0"/>
          <c:showVal val="0"/>
          <c:showCatName val="0"/>
          <c:showSerName val="0"/>
          <c:showPercent val="0"/>
          <c:showBubbleSize val="0"/>
        </c:dLbls>
        <c:gapWidth val="219"/>
        <c:overlap val="-27"/>
        <c:axId val="439660640"/>
        <c:axId val="439660968"/>
      </c:barChart>
      <c:catAx>
        <c:axId val="439660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39660968"/>
        <c:crosses val="autoZero"/>
        <c:auto val="1"/>
        <c:lblAlgn val="ctr"/>
        <c:lblOffset val="100"/>
        <c:noMultiLvlLbl val="0"/>
      </c:catAx>
      <c:valAx>
        <c:axId val="439660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396606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sheetViews>
    <sheetView zoomScale="123"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9308171" cy="6078963"/>
    <xdr:graphicFrame macro="">
      <xdr:nvGraphicFramePr>
        <xdr:cNvPr id="2" name="Graphique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V112"/>
  <sheetViews>
    <sheetView tabSelected="1" view="pageBreakPreview" topLeftCell="A40" zoomScale="115" zoomScaleNormal="115" zoomScaleSheetLayoutView="115" workbookViewId="0">
      <selection activeCell="D59" sqref="D59"/>
    </sheetView>
  </sheetViews>
  <sheetFormatPr baseColWidth="10" defaultColWidth="14.28515625" defaultRowHeight="15" x14ac:dyDescent="0.25"/>
  <cols>
    <col min="1" max="1" width="14.28515625" style="1"/>
    <col min="2" max="2" width="38.5703125" style="29" customWidth="1"/>
    <col min="3" max="4" width="10.7109375" style="1" customWidth="1"/>
    <col min="5" max="5" width="14.28515625" style="1"/>
    <col min="6" max="6" width="10.7109375" style="24" customWidth="1"/>
    <col min="7" max="7" width="56.140625" style="29" bestFit="1" customWidth="1"/>
    <col min="8" max="16384" width="14.28515625" style="1"/>
  </cols>
  <sheetData>
    <row r="2" spans="1:22" x14ac:dyDescent="0.25">
      <c r="A2" s="9" t="s">
        <v>0</v>
      </c>
      <c r="B2" s="26" t="s">
        <v>1</v>
      </c>
      <c r="C2" s="9" t="s">
        <v>2</v>
      </c>
      <c r="D2" s="9" t="s">
        <v>3</v>
      </c>
      <c r="E2" s="9" t="s">
        <v>4</v>
      </c>
      <c r="F2" s="19" t="s">
        <v>5</v>
      </c>
      <c r="G2" s="26" t="s">
        <v>6</v>
      </c>
    </row>
    <row r="3" spans="1:22" x14ac:dyDescent="0.25">
      <c r="A3" s="3">
        <v>46064</v>
      </c>
      <c r="B3" s="15" t="s">
        <v>16</v>
      </c>
      <c r="C3" s="5">
        <v>0.33333333333333331</v>
      </c>
      <c r="D3" s="5">
        <v>0.34027777777777773</v>
      </c>
      <c r="E3" s="5">
        <f>D3-C3</f>
        <v>6.9444444444444198E-3</v>
      </c>
      <c r="F3" s="20">
        <f>SUM(E3:E6)</f>
        <v>6.5972222222222265E-2</v>
      </c>
      <c r="G3" s="28"/>
    </row>
    <row r="4" spans="1:22" x14ac:dyDescent="0.25">
      <c r="A4" s="3"/>
      <c r="B4" s="15" t="s">
        <v>17</v>
      </c>
      <c r="C4" s="5">
        <v>0.34027777777777773</v>
      </c>
      <c r="D4" s="5">
        <v>0.3611111111111111</v>
      </c>
      <c r="E4" s="5">
        <f t="shared" ref="E4:E6" si="0">D4-C4</f>
        <v>2.083333333333337E-2</v>
      </c>
      <c r="F4" s="20"/>
      <c r="G4" s="15"/>
    </row>
    <row r="5" spans="1:22" x14ac:dyDescent="0.25">
      <c r="A5" s="3"/>
      <c r="B5" s="15" t="s">
        <v>18</v>
      </c>
      <c r="C5" s="5">
        <v>0.3611111111111111</v>
      </c>
      <c r="D5" s="5">
        <v>0.36805555555555558</v>
      </c>
      <c r="E5" s="5">
        <f t="shared" si="0"/>
        <v>6.9444444444444753E-3</v>
      </c>
      <c r="F5" s="20"/>
      <c r="G5" s="15"/>
    </row>
    <row r="6" spans="1:22" x14ac:dyDescent="0.25">
      <c r="A6" s="3"/>
      <c r="B6" s="15" t="s">
        <v>19</v>
      </c>
      <c r="C6" s="5">
        <v>0.36805555555555558</v>
      </c>
      <c r="D6" s="5">
        <v>0.39930555555555558</v>
      </c>
      <c r="E6" s="5">
        <f t="shared" si="0"/>
        <v>3.125E-2</v>
      </c>
      <c r="F6" s="20"/>
      <c r="G6" s="15"/>
    </row>
    <row r="7" spans="1:22" ht="30" x14ac:dyDescent="0.25">
      <c r="A7" s="11">
        <v>46078</v>
      </c>
      <c r="B7" s="16" t="s">
        <v>9</v>
      </c>
      <c r="C7" s="13">
        <v>0.35416666666666669</v>
      </c>
      <c r="D7" s="13">
        <v>0.36319444444444443</v>
      </c>
      <c r="E7" s="13">
        <f t="shared" ref="E7:E84" si="1">D7-C7</f>
        <v>9.0277777777777457E-3</v>
      </c>
      <c r="F7" s="21">
        <f>SUM(E7:E11)</f>
        <v>4.5138888888888895E-2</v>
      </c>
      <c r="G7" s="25" t="s">
        <v>8</v>
      </c>
    </row>
    <row r="8" spans="1:22" x14ac:dyDescent="0.25">
      <c r="A8" s="11"/>
      <c r="B8" s="16" t="s">
        <v>12</v>
      </c>
      <c r="C8" s="13">
        <v>0.36319444444444443</v>
      </c>
      <c r="D8" s="13">
        <v>0.36805555555555558</v>
      </c>
      <c r="E8" s="13">
        <f t="shared" si="1"/>
        <v>4.8611111111111494E-3</v>
      </c>
      <c r="F8" s="21"/>
      <c r="G8" s="25" t="s">
        <v>13</v>
      </c>
    </row>
    <row r="9" spans="1:22" x14ac:dyDescent="0.25">
      <c r="A9" s="11"/>
      <c r="B9" s="16" t="s">
        <v>10</v>
      </c>
      <c r="C9" s="13">
        <v>0.36805555555555558</v>
      </c>
      <c r="D9" s="13">
        <v>0.37291666666666662</v>
      </c>
      <c r="E9" s="13">
        <f t="shared" si="1"/>
        <v>4.8611111111110383E-3</v>
      </c>
      <c r="F9" s="21"/>
      <c r="G9" s="25" t="s">
        <v>11</v>
      </c>
    </row>
    <row r="10" spans="1:22" x14ac:dyDescent="0.25">
      <c r="A10" s="11"/>
      <c r="B10" s="16" t="s">
        <v>12</v>
      </c>
      <c r="C10" s="13">
        <v>0.37291666666666662</v>
      </c>
      <c r="D10" s="13">
        <v>0.37847222222222227</v>
      </c>
      <c r="E10" s="13">
        <f t="shared" si="1"/>
        <v>5.5555555555556468E-3</v>
      </c>
      <c r="F10" s="21"/>
      <c r="G10" s="25" t="s">
        <v>14</v>
      </c>
    </row>
    <row r="11" spans="1:22" ht="60" x14ac:dyDescent="0.25">
      <c r="A11" s="11"/>
      <c r="B11" s="16" t="s">
        <v>15</v>
      </c>
      <c r="C11" s="13">
        <v>0.37847222222222227</v>
      </c>
      <c r="D11" s="13">
        <v>0.39930555555555558</v>
      </c>
      <c r="E11" s="13">
        <f t="shared" si="1"/>
        <v>2.0833333333333315E-2</v>
      </c>
      <c r="F11" s="21"/>
      <c r="G11" s="25" t="s">
        <v>20</v>
      </c>
    </row>
    <row r="12" spans="1:22" x14ac:dyDescent="0.25">
      <c r="A12" s="3">
        <v>46083</v>
      </c>
      <c r="B12" s="31" t="s">
        <v>12</v>
      </c>
      <c r="C12" s="5">
        <v>0.55555555555555558</v>
      </c>
      <c r="D12" s="5">
        <v>0.55902777777777779</v>
      </c>
      <c r="E12" s="5">
        <f t="shared" si="1"/>
        <v>3.4722222222222099E-3</v>
      </c>
      <c r="F12" s="20">
        <f>SUM(E12:E13)</f>
        <v>2.9861111111111005E-2</v>
      </c>
      <c r="G12" s="15" t="s">
        <v>14</v>
      </c>
      <c r="H12" s="2"/>
      <c r="I12" s="2"/>
      <c r="J12" s="2"/>
      <c r="K12" s="2"/>
      <c r="L12" s="2"/>
      <c r="M12" s="2"/>
      <c r="N12" s="2"/>
      <c r="P12" s="2"/>
      <c r="Q12" s="2"/>
      <c r="R12" s="2"/>
      <c r="S12" s="2"/>
      <c r="T12" s="2"/>
      <c r="V12" s="2"/>
    </row>
    <row r="13" spans="1:22" ht="60" x14ac:dyDescent="0.25">
      <c r="A13" s="3"/>
      <c r="B13" s="15" t="s">
        <v>21</v>
      </c>
      <c r="C13" s="5">
        <v>0.65138888888888891</v>
      </c>
      <c r="D13" s="5">
        <v>0.6777777777777777</v>
      </c>
      <c r="E13" s="5">
        <f t="shared" si="1"/>
        <v>2.6388888888888795E-2</v>
      </c>
      <c r="F13" s="20"/>
      <c r="G13" s="32" t="s">
        <v>20</v>
      </c>
      <c r="H13" s="2"/>
      <c r="I13" s="2"/>
      <c r="J13" s="2"/>
      <c r="K13" s="2"/>
      <c r="L13" s="2"/>
      <c r="M13" s="2"/>
      <c r="N13" s="2"/>
      <c r="P13" s="2"/>
      <c r="Q13" s="2"/>
      <c r="R13" s="2"/>
      <c r="S13" s="2"/>
      <c r="T13" s="2"/>
      <c r="V13" s="2"/>
    </row>
    <row r="14" spans="1:22" ht="30" x14ac:dyDescent="0.25">
      <c r="A14" s="11">
        <v>46084</v>
      </c>
      <c r="B14" s="16" t="s">
        <v>21</v>
      </c>
      <c r="C14" s="13">
        <v>0.46875</v>
      </c>
      <c r="D14" s="13">
        <v>0.4861111111111111</v>
      </c>
      <c r="E14" s="13">
        <f t="shared" si="1"/>
        <v>1.7361111111111105E-2</v>
      </c>
      <c r="F14" s="21">
        <f>SUM(E14:E15)</f>
        <v>4.5138888888888895E-2</v>
      </c>
      <c r="G14" s="16" t="s">
        <v>22</v>
      </c>
      <c r="H14" s="2"/>
      <c r="I14" s="2"/>
      <c r="J14" s="2"/>
      <c r="K14" s="2"/>
      <c r="L14" s="2"/>
      <c r="M14" s="2"/>
      <c r="N14" s="2"/>
      <c r="P14" s="2"/>
      <c r="Q14" s="2"/>
      <c r="R14" s="2"/>
      <c r="S14" s="2"/>
      <c r="T14" s="2"/>
      <c r="V14" s="2"/>
    </row>
    <row r="15" spans="1:22" ht="30" x14ac:dyDescent="0.25">
      <c r="A15" s="11"/>
      <c r="B15" s="16" t="s">
        <v>21</v>
      </c>
      <c r="C15" s="13">
        <v>0.69097222222222221</v>
      </c>
      <c r="D15" s="13">
        <v>0.71875</v>
      </c>
      <c r="E15" s="13">
        <f t="shared" si="1"/>
        <v>2.777777777777779E-2</v>
      </c>
      <c r="F15" s="21"/>
      <c r="G15" s="16" t="s">
        <v>23</v>
      </c>
      <c r="H15" s="2"/>
      <c r="I15" s="2"/>
      <c r="J15" s="2"/>
      <c r="K15" s="2"/>
      <c r="L15" s="2"/>
      <c r="M15" s="2"/>
      <c r="N15" s="2"/>
      <c r="P15" s="2"/>
      <c r="Q15" s="2"/>
      <c r="R15" s="2"/>
      <c r="S15" s="2"/>
      <c r="T15" s="2"/>
      <c r="V15" s="2"/>
    </row>
    <row r="16" spans="1:22" x14ac:dyDescent="0.25">
      <c r="A16" s="3">
        <v>46085</v>
      </c>
      <c r="B16" s="15" t="s">
        <v>24</v>
      </c>
      <c r="C16" s="5">
        <v>0.33680555555555558</v>
      </c>
      <c r="D16" s="5">
        <v>0.375</v>
      </c>
      <c r="E16" s="5">
        <f t="shared" si="1"/>
        <v>3.819444444444442E-2</v>
      </c>
      <c r="F16" s="20">
        <f>SUM(E16:E17)</f>
        <v>5.9027777777777735E-2</v>
      </c>
      <c r="G16" s="15" t="s">
        <v>26</v>
      </c>
    </row>
    <row r="17" spans="1:7" ht="30" x14ac:dyDescent="0.25">
      <c r="A17" s="3"/>
      <c r="B17" s="15" t="s">
        <v>25</v>
      </c>
      <c r="C17" s="5">
        <v>0.37847222222222227</v>
      </c>
      <c r="D17" s="5">
        <v>0.39930555555555558</v>
      </c>
      <c r="E17" s="5">
        <f t="shared" si="1"/>
        <v>2.0833333333333315E-2</v>
      </c>
      <c r="F17" s="20"/>
      <c r="G17" s="15"/>
    </row>
    <row r="18" spans="1:7" x14ac:dyDescent="0.25">
      <c r="A18" s="8">
        <v>46092</v>
      </c>
      <c r="B18" s="26" t="s">
        <v>12</v>
      </c>
      <c r="C18" s="10"/>
      <c r="D18" s="10"/>
      <c r="E18" s="10">
        <f t="shared" si="1"/>
        <v>0</v>
      </c>
      <c r="F18" s="19">
        <f>SUM(E18,E19)</f>
        <v>0</v>
      </c>
      <c r="G18" s="26" t="s">
        <v>14</v>
      </c>
    </row>
    <row r="19" spans="1:7" ht="30" x14ac:dyDescent="0.25">
      <c r="A19" s="8"/>
      <c r="B19" s="26" t="s">
        <v>29</v>
      </c>
      <c r="C19" s="10"/>
      <c r="D19" s="10"/>
      <c r="E19" s="10">
        <f>D19-C19</f>
        <v>0</v>
      </c>
      <c r="F19" s="19"/>
      <c r="G19" s="26"/>
    </row>
    <row r="20" spans="1:7" x14ac:dyDescent="0.25">
      <c r="A20" s="3">
        <v>46099</v>
      </c>
      <c r="B20" s="15" t="s">
        <v>12</v>
      </c>
      <c r="C20" s="5">
        <v>0.33680555555555558</v>
      </c>
      <c r="D20" s="5">
        <v>0.34375</v>
      </c>
      <c r="E20" s="5">
        <f>D20-C20</f>
        <v>6.9444444444444198E-3</v>
      </c>
      <c r="F20" s="20">
        <f>SUM(E20:E21)</f>
        <v>5.9027777777777735E-2</v>
      </c>
      <c r="G20" s="15" t="s">
        <v>14</v>
      </c>
    </row>
    <row r="21" spans="1:7" ht="45" x14ac:dyDescent="0.25">
      <c r="A21" s="3"/>
      <c r="B21" s="15" t="s">
        <v>30</v>
      </c>
      <c r="C21" s="5">
        <v>0.34722222222222227</v>
      </c>
      <c r="D21" s="5">
        <v>0.39930555555555558</v>
      </c>
      <c r="E21" s="5">
        <f>D21-C21</f>
        <v>5.2083333333333315E-2</v>
      </c>
      <c r="F21" s="20"/>
      <c r="G21" s="15"/>
    </row>
    <row r="22" spans="1:7" x14ac:dyDescent="0.25">
      <c r="A22" s="6">
        <v>46106</v>
      </c>
      <c r="B22" s="27" t="s">
        <v>12</v>
      </c>
      <c r="C22" s="7">
        <v>0.53819444444444442</v>
      </c>
      <c r="D22" s="7">
        <v>0.54513888888888895</v>
      </c>
      <c r="E22" s="7">
        <f t="shared" ref="E22:E29" si="2">D22-C22</f>
        <v>6.9444444444445308E-3</v>
      </c>
      <c r="F22" s="22">
        <f>SUM(E22:E24)</f>
        <v>7.2916666666666796E-2</v>
      </c>
      <c r="G22" s="27" t="s">
        <v>14</v>
      </c>
    </row>
    <row r="23" spans="1:7" ht="30" x14ac:dyDescent="0.25">
      <c r="A23" s="6"/>
      <c r="B23" s="27" t="s">
        <v>29</v>
      </c>
      <c r="C23" s="7">
        <v>0.33333333333333331</v>
      </c>
      <c r="D23" s="7">
        <v>0.39930555555555558</v>
      </c>
      <c r="E23" s="7">
        <f t="shared" si="2"/>
        <v>6.5972222222222265E-2</v>
      </c>
      <c r="F23" s="22"/>
      <c r="G23" s="27"/>
    </row>
    <row r="24" spans="1:7" x14ac:dyDescent="0.25">
      <c r="A24" s="6"/>
      <c r="B24" s="27"/>
      <c r="C24" s="7"/>
      <c r="D24" s="7"/>
      <c r="E24" s="7"/>
      <c r="F24" s="22"/>
      <c r="G24" s="30"/>
    </row>
    <row r="25" spans="1:7" x14ac:dyDescent="0.25">
      <c r="A25" s="3">
        <v>46112</v>
      </c>
      <c r="B25" s="15" t="s">
        <v>12</v>
      </c>
      <c r="C25" s="5">
        <v>0.53472222222222221</v>
      </c>
      <c r="D25" s="5">
        <v>0.54166666666666663</v>
      </c>
      <c r="E25" s="5">
        <f t="shared" si="2"/>
        <v>6.9444444444444198E-3</v>
      </c>
      <c r="F25" s="20">
        <f>SUM(E25:E27)</f>
        <v>7.291666666666663E-2</v>
      </c>
      <c r="G25" s="15" t="s">
        <v>14</v>
      </c>
    </row>
    <row r="26" spans="1:7" ht="30" x14ac:dyDescent="0.25">
      <c r="A26" s="3"/>
      <c r="B26" s="15" t="s">
        <v>32</v>
      </c>
      <c r="C26" s="5">
        <v>0.34375</v>
      </c>
      <c r="D26" s="5">
        <v>0.39930555555555558</v>
      </c>
      <c r="E26" s="5">
        <f t="shared" si="2"/>
        <v>5.555555555555558E-2</v>
      </c>
      <c r="F26" s="20"/>
      <c r="G26" s="15" t="s">
        <v>33</v>
      </c>
    </row>
    <row r="27" spans="1:7" ht="60" x14ac:dyDescent="0.25">
      <c r="A27" s="3"/>
      <c r="B27" s="15" t="s">
        <v>27</v>
      </c>
      <c r="C27" s="5">
        <v>0.69097222222222221</v>
      </c>
      <c r="D27" s="5">
        <v>0.70138888888888884</v>
      </c>
      <c r="E27" s="5">
        <f t="shared" si="2"/>
        <v>1.041666666666663E-2</v>
      </c>
      <c r="F27" s="20"/>
      <c r="G27" s="15" t="s">
        <v>28</v>
      </c>
    </row>
    <row r="28" spans="1:7" x14ac:dyDescent="0.25">
      <c r="A28" s="6">
        <v>46113</v>
      </c>
      <c r="B28" s="27" t="s">
        <v>12</v>
      </c>
      <c r="C28" s="7">
        <v>0.3923611111111111</v>
      </c>
      <c r="D28" s="7">
        <v>0.39930555555555558</v>
      </c>
      <c r="E28" s="7">
        <f t="shared" si="2"/>
        <v>6.9444444444444753E-3</v>
      </c>
      <c r="F28" s="22">
        <f>SUM(E28:E30)</f>
        <v>6.2500000000000056E-2</v>
      </c>
      <c r="G28" s="27" t="s">
        <v>14</v>
      </c>
    </row>
    <row r="29" spans="1:7" ht="45" x14ac:dyDescent="0.25">
      <c r="A29" s="6"/>
      <c r="B29" s="27" t="s">
        <v>34</v>
      </c>
      <c r="C29" s="7">
        <v>0.33333333333333331</v>
      </c>
      <c r="D29" s="7">
        <v>0.3888888888888889</v>
      </c>
      <c r="E29" s="7">
        <f t="shared" si="2"/>
        <v>5.555555555555558E-2</v>
      </c>
      <c r="F29" s="22"/>
      <c r="G29" s="27"/>
    </row>
    <row r="30" spans="1:7" x14ac:dyDescent="0.25">
      <c r="A30" s="6"/>
      <c r="B30" s="27"/>
      <c r="C30" s="7"/>
      <c r="D30" s="7"/>
      <c r="E30" s="7"/>
      <c r="F30" s="22"/>
      <c r="G30" s="27"/>
    </row>
    <row r="31" spans="1:7" x14ac:dyDescent="0.25">
      <c r="A31" s="3">
        <v>46134</v>
      </c>
      <c r="B31" s="15" t="s">
        <v>12</v>
      </c>
      <c r="C31" s="5">
        <v>0.3923611111111111</v>
      </c>
      <c r="D31" s="5">
        <v>0.39930555555555558</v>
      </c>
      <c r="E31" s="5">
        <f t="shared" si="1"/>
        <v>6.9444444444444753E-3</v>
      </c>
      <c r="F31" s="20">
        <f>SUM(E31:E33)</f>
        <v>6.2500000000000056E-2</v>
      </c>
      <c r="G31" s="15" t="s">
        <v>14</v>
      </c>
    </row>
    <row r="32" spans="1:7" ht="30" x14ac:dyDescent="0.25">
      <c r="A32" s="3"/>
      <c r="B32" s="28" t="s">
        <v>31</v>
      </c>
      <c r="C32" s="5">
        <v>0.33333333333333331</v>
      </c>
      <c r="D32" s="5">
        <v>0.3888888888888889</v>
      </c>
      <c r="E32" s="5">
        <f>D32-C32</f>
        <v>5.555555555555558E-2</v>
      </c>
      <c r="F32" s="20"/>
      <c r="G32" s="15"/>
    </row>
    <row r="33" spans="1:7" x14ac:dyDescent="0.25">
      <c r="A33" s="3"/>
      <c r="C33" s="5"/>
      <c r="D33" s="5"/>
      <c r="E33" s="5"/>
      <c r="F33" s="20"/>
      <c r="G33" s="15"/>
    </row>
    <row r="34" spans="1:7" x14ac:dyDescent="0.25">
      <c r="A34" s="8">
        <v>46141</v>
      </c>
      <c r="B34" s="26" t="s">
        <v>12</v>
      </c>
      <c r="C34" s="10">
        <v>0.39444444444444443</v>
      </c>
      <c r="D34" s="10">
        <v>0.39930555555555558</v>
      </c>
      <c r="E34" s="10">
        <f t="shared" si="1"/>
        <v>4.8611111111111494E-3</v>
      </c>
      <c r="F34" s="19">
        <f>SUM(E34:E36)</f>
        <v>6.2500000000000056E-2</v>
      </c>
      <c r="G34" s="26" t="s">
        <v>14</v>
      </c>
    </row>
    <row r="35" spans="1:7" ht="30" x14ac:dyDescent="0.25">
      <c r="A35" s="8"/>
      <c r="B35" s="26" t="s">
        <v>31</v>
      </c>
      <c r="C35" s="10">
        <v>0.33333333333333331</v>
      </c>
      <c r="D35" s="10">
        <v>0.3840277777777778</v>
      </c>
      <c r="E35" s="10">
        <f t="shared" si="1"/>
        <v>5.0694444444444486E-2</v>
      </c>
      <c r="F35" s="19"/>
      <c r="G35" s="26" t="s">
        <v>36</v>
      </c>
    </row>
    <row r="36" spans="1:7" ht="30" x14ac:dyDescent="0.25">
      <c r="A36" s="8"/>
      <c r="B36" s="26" t="s">
        <v>35</v>
      </c>
      <c r="C36" s="10">
        <v>0.38541666666666669</v>
      </c>
      <c r="D36" s="10">
        <v>0.3923611111111111</v>
      </c>
      <c r="E36" s="10">
        <f>D36-C36</f>
        <v>6.9444444444444198E-3</v>
      </c>
      <c r="F36" s="19"/>
      <c r="G36" s="26" t="s">
        <v>37</v>
      </c>
    </row>
    <row r="37" spans="1:7" x14ac:dyDescent="0.25">
      <c r="A37" s="3">
        <v>46148</v>
      </c>
      <c r="B37" s="15" t="s">
        <v>12</v>
      </c>
      <c r="C37" s="5">
        <v>0.38541666666666669</v>
      </c>
      <c r="D37" s="5">
        <v>0.39305555555555555</v>
      </c>
      <c r="E37" s="5">
        <f t="shared" si="1"/>
        <v>7.6388888888888618E-3</v>
      </c>
      <c r="F37" s="20">
        <f>SUM(E37:E40)</f>
        <v>5.9722222222222232E-2</v>
      </c>
      <c r="G37" s="15" t="s">
        <v>14</v>
      </c>
    </row>
    <row r="38" spans="1:7" ht="75" x14ac:dyDescent="0.25">
      <c r="A38" s="3"/>
      <c r="B38" s="15" t="s">
        <v>38</v>
      </c>
      <c r="C38" s="5">
        <v>0.36458333333333331</v>
      </c>
      <c r="D38" s="5">
        <v>0.38194444444444442</v>
      </c>
      <c r="E38" s="5">
        <f t="shared" si="1"/>
        <v>1.7361111111111105E-2</v>
      </c>
      <c r="F38" s="20"/>
      <c r="G38" s="15" t="s">
        <v>39</v>
      </c>
    </row>
    <row r="39" spans="1:7" x14ac:dyDescent="0.25">
      <c r="A39" s="3"/>
      <c r="B39" s="15" t="s">
        <v>40</v>
      </c>
      <c r="C39" s="5">
        <v>0.33333333333333331</v>
      </c>
      <c r="D39" s="5">
        <v>0.36319444444444443</v>
      </c>
      <c r="E39" s="5">
        <f t="shared" si="1"/>
        <v>2.9861111111111116E-2</v>
      </c>
      <c r="F39" s="20"/>
      <c r="G39" s="15"/>
    </row>
    <row r="40" spans="1:7" x14ac:dyDescent="0.25">
      <c r="A40" s="3"/>
      <c r="B40" s="1" t="s">
        <v>41</v>
      </c>
      <c r="C40" s="5">
        <v>0.39444444444444443</v>
      </c>
      <c r="D40" s="5">
        <v>0.39930555555555558</v>
      </c>
      <c r="E40" s="5">
        <f t="shared" ref="E40" si="3">D40-C40</f>
        <v>4.8611111111111494E-3</v>
      </c>
      <c r="F40" s="20"/>
      <c r="G40" s="15" t="s">
        <v>42</v>
      </c>
    </row>
    <row r="41" spans="1:7" x14ac:dyDescent="0.25">
      <c r="A41" s="11">
        <v>46155</v>
      </c>
      <c r="B41" s="27" t="s">
        <v>12</v>
      </c>
      <c r="C41" s="13">
        <v>0.39374999999999999</v>
      </c>
      <c r="D41" s="13">
        <v>0.39930555555555558</v>
      </c>
      <c r="E41" s="13">
        <f t="shared" si="1"/>
        <v>5.5555555555555913E-3</v>
      </c>
      <c r="F41" s="22">
        <f>SUM(E41:E44)</f>
        <v>6.1111111111111227E-2</v>
      </c>
      <c r="G41" s="16" t="s">
        <v>14</v>
      </c>
    </row>
    <row r="42" spans="1:7" ht="75" x14ac:dyDescent="0.25">
      <c r="A42" s="11"/>
      <c r="B42" s="16" t="s">
        <v>43</v>
      </c>
      <c r="C42" s="13">
        <v>0.33333333333333331</v>
      </c>
      <c r="D42" s="13">
        <v>0.36805555555555558</v>
      </c>
      <c r="E42" s="13">
        <f>D42-C42</f>
        <v>3.4722222222222265E-2</v>
      </c>
      <c r="F42" s="22"/>
      <c r="G42" s="16" t="s">
        <v>49</v>
      </c>
    </row>
    <row r="43" spans="1:7" ht="30" x14ac:dyDescent="0.25">
      <c r="A43" s="11"/>
      <c r="B43" s="16" t="s">
        <v>44</v>
      </c>
      <c r="C43" s="13">
        <v>0.37152777777777773</v>
      </c>
      <c r="D43" s="13">
        <v>0.3923611111111111</v>
      </c>
      <c r="E43" s="13">
        <f>D43-C43</f>
        <v>2.083333333333337E-2</v>
      </c>
      <c r="F43" s="22"/>
      <c r="G43" s="16" t="s">
        <v>45</v>
      </c>
    </row>
    <row r="44" spans="1:7" x14ac:dyDescent="0.25">
      <c r="A44" s="11"/>
      <c r="B44" s="16"/>
      <c r="C44" s="13"/>
      <c r="D44" s="13"/>
      <c r="E44" s="13">
        <f t="shared" si="1"/>
        <v>0</v>
      </c>
      <c r="F44" s="22"/>
      <c r="G44" s="16"/>
    </row>
    <row r="45" spans="1:7" x14ac:dyDescent="0.25">
      <c r="A45" s="3">
        <v>46162</v>
      </c>
      <c r="B45" s="15" t="s">
        <v>12</v>
      </c>
      <c r="C45" s="5">
        <v>0.39444444444444443</v>
      </c>
      <c r="D45" s="5">
        <v>0.39930555555555558</v>
      </c>
      <c r="E45" s="5">
        <f t="shared" si="1"/>
        <v>4.8611111111111494E-3</v>
      </c>
      <c r="F45" s="20">
        <f>SUM(E45:E49)</f>
        <v>5.902777777777779E-2</v>
      </c>
      <c r="G45" s="15" t="s">
        <v>14</v>
      </c>
    </row>
    <row r="46" spans="1:7" x14ac:dyDescent="0.25">
      <c r="A46" s="3"/>
      <c r="B46" s="15" t="s">
        <v>40</v>
      </c>
      <c r="C46" s="5">
        <v>0.33680555555555558</v>
      </c>
      <c r="D46" s="5">
        <v>0.35069444444444442</v>
      </c>
      <c r="E46" s="5">
        <f t="shared" si="1"/>
        <v>1.388888888888884E-2</v>
      </c>
      <c r="F46" s="20"/>
      <c r="G46" s="15" t="s">
        <v>47</v>
      </c>
    </row>
    <row r="47" spans="1:7" ht="30" x14ac:dyDescent="0.25">
      <c r="A47" s="3"/>
      <c r="B47" s="15" t="s">
        <v>46</v>
      </c>
      <c r="C47" s="5">
        <v>0.3520833333333333</v>
      </c>
      <c r="D47" s="5">
        <v>0.375</v>
      </c>
      <c r="E47" s="5">
        <f t="shared" si="1"/>
        <v>2.2916666666666696E-2</v>
      </c>
      <c r="F47" s="20"/>
      <c r="G47" s="15"/>
    </row>
    <row r="48" spans="1:7" x14ac:dyDescent="0.25">
      <c r="A48" s="3"/>
      <c r="B48" s="15" t="s">
        <v>48</v>
      </c>
      <c r="C48" s="5">
        <v>0.375</v>
      </c>
      <c r="D48" s="5">
        <v>0.3923611111111111</v>
      </c>
      <c r="E48" s="5">
        <f t="shared" si="1"/>
        <v>1.7361111111111105E-2</v>
      </c>
      <c r="F48" s="20"/>
      <c r="G48" s="15" t="s">
        <v>50</v>
      </c>
    </row>
    <row r="49" spans="1:7" x14ac:dyDescent="0.25">
      <c r="A49" s="3"/>
      <c r="B49" s="15"/>
      <c r="C49" s="5"/>
      <c r="D49" s="5"/>
      <c r="E49" s="5">
        <f t="shared" si="1"/>
        <v>0</v>
      </c>
      <c r="F49" s="20"/>
      <c r="G49" s="15"/>
    </row>
    <row r="50" spans="1:7" x14ac:dyDescent="0.25">
      <c r="A50" s="11">
        <v>46169</v>
      </c>
      <c r="B50" s="27" t="s">
        <v>12</v>
      </c>
      <c r="C50" s="13">
        <v>0.33680555555555558</v>
      </c>
      <c r="D50" s="13">
        <v>0.35416666666666669</v>
      </c>
      <c r="E50" s="13">
        <f t="shared" ref="E50:E56" si="4">D50-C50</f>
        <v>1.7361111111111105E-2</v>
      </c>
      <c r="F50" s="21">
        <f>SUM(E50:E51)</f>
        <v>5.902777777777779E-2</v>
      </c>
      <c r="G50" s="16" t="s">
        <v>14</v>
      </c>
    </row>
    <row r="51" spans="1:7" x14ac:dyDescent="0.25">
      <c r="A51" s="12"/>
      <c r="B51" s="16" t="s">
        <v>43</v>
      </c>
      <c r="C51" s="13">
        <v>0.3576388888888889</v>
      </c>
      <c r="D51" s="13">
        <v>0.39930555555555558</v>
      </c>
      <c r="E51" s="13">
        <f t="shared" si="4"/>
        <v>4.1666666666666685E-2</v>
      </c>
      <c r="F51" s="21"/>
      <c r="G51" s="16" t="s">
        <v>50</v>
      </c>
    </row>
    <row r="52" spans="1:7" x14ac:dyDescent="0.25">
      <c r="A52" s="3"/>
      <c r="B52" s="15" t="s">
        <v>12</v>
      </c>
      <c r="C52" s="14">
        <v>0.56944444444444442</v>
      </c>
      <c r="D52" s="14">
        <v>0.57638888888888895</v>
      </c>
      <c r="E52" s="5">
        <f t="shared" si="4"/>
        <v>6.9444444444445308E-3</v>
      </c>
      <c r="F52" s="23">
        <f xml:space="preserve"> SUM(E52:E60)</f>
        <v>0.2409722222222222</v>
      </c>
      <c r="G52" s="15" t="s">
        <v>14</v>
      </c>
    </row>
    <row r="53" spans="1:7" ht="45" x14ac:dyDescent="0.25">
      <c r="A53" s="3"/>
      <c r="B53" s="33" t="s">
        <v>51</v>
      </c>
      <c r="C53" s="33">
        <v>0.36805555555555558</v>
      </c>
      <c r="D53" s="14">
        <v>0.4861111111111111</v>
      </c>
      <c r="E53" s="5">
        <f t="shared" si="4"/>
        <v>0.11805555555555552</v>
      </c>
      <c r="F53" s="23"/>
      <c r="G53" s="17" t="s">
        <v>53</v>
      </c>
    </row>
    <row r="54" spans="1:7" ht="30" x14ac:dyDescent="0.25">
      <c r="A54" s="3"/>
      <c r="B54" s="17" t="s">
        <v>52</v>
      </c>
      <c r="C54" s="14">
        <v>0.51041666666666663</v>
      </c>
      <c r="D54" s="14">
        <v>0.54166666666666663</v>
      </c>
      <c r="E54" s="5">
        <f t="shared" si="4"/>
        <v>3.125E-2</v>
      </c>
      <c r="F54" s="23"/>
      <c r="G54" s="17" t="s">
        <v>54</v>
      </c>
    </row>
    <row r="55" spans="1:7" x14ac:dyDescent="0.25">
      <c r="A55" s="3"/>
      <c r="B55" s="15" t="s">
        <v>12</v>
      </c>
      <c r="C55" s="14">
        <v>0.54513888888888895</v>
      </c>
      <c r="D55" s="14">
        <v>0.58680555555555558</v>
      </c>
      <c r="E55" s="5">
        <f t="shared" si="4"/>
        <v>4.166666666666663E-2</v>
      </c>
      <c r="F55" s="23"/>
      <c r="G55" s="17" t="s">
        <v>55</v>
      </c>
    </row>
    <row r="56" spans="1:7" ht="45" x14ac:dyDescent="0.25">
      <c r="A56" s="3"/>
      <c r="B56" s="15" t="s">
        <v>12</v>
      </c>
      <c r="C56" s="14">
        <v>0.59027777777777779</v>
      </c>
      <c r="D56" s="14">
        <v>0.6333333333333333</v>
      </c>
      <c r="E56" s="5">
        <f t="shared" si="4"/>
        <v>4.3055555555555514E-2</v>
      </c>
      <c r="F56" s="23"/>
      <c r="G56" s="17" t="s">
        <v>56</v>
      </c>
    </row>
    <row r="57" spans="1:7" x14ac:dyDescent="0.25">
      <c r="A57" s="3"/>
      <c r="B57" s="17"/>
      <c r="C57" s="14"/>
      <c r="D57" s="14"/>
      <c r="E57" s="5">
        <f t="shared" si="1"/>
        <v>0</v>
      </c>
      <c r="F57" s="23"/>
      <c r="G57" s="17"/>
    </row>
    <row r="58" spans="1:7" x14ac:dyDescent="0.25">
      <c r="A58" s="3"/>
      <c r="B58" s="17"/>
      <c r="C58" s="14"/>
      <c r="D58" s="14"/>
      <c r="E58" s="5">
        <f t="shared" si="1"/>
        <v>0</v>
      </c>
      <c r="F58" s="23"/>
      <c r="G58" s="17"/>
    </row>
    <row r="59" spans="1:7" x14ac:dyDescent="0.25">
      <c r="A59" s="3"/>
      <c r="B59" s="17"/>
      <c r="C59" s="14"/>
      <c r="D59" s="14"/>
      <c r="E59" s="5">
        <f t="shared" si="1"/>
        <v>0</v>
      </c>
      <c r="F59" s="23"/>
      <c r="G59" s="17"/>
    </row>
    <row r="60" spans="1:7" x14ac:dyDescent="0.25">
      <c r="A60" s="3"/>
      <c r="B60" s="17"/>
      <c r="C60" s="14"/>
      <c r="D60" s="14"/>
      <c r="E60" s="5">
        <f t="shared" si="1"/>
        <v>0</v>
      </c>
      <c r="F60" s="23"/>
      <c r="G60" s="17"/>
    </row>
    <row r="61" spans="1:7" x14ac:dyDescent="0.25">
      <c r="A61" s="8"/>
      <c r="B61" s="26"/>
      <c r="C61" s="10"/>
      <c r="D61" s="10"/>
      <c r="E61" s="10">
        <f t="shared" si="1"/>
        <v>0</v>
      </c>
      <c r="F61" s="19">
        <f t="shared" ref="F61" si="5">SUM(0)</f>
        <v>0</v>
      </c>
      <c r="G61" s="26"/>
    </row>
    <row r="62" spans="1:7" x14ac:dyDescent="0.25">
      <c r="A62" s="8"/>
      <c r="B62" s="26"/>
      <c r="C62" s="10"/>
      <c r="D62" s="10"/>
      <c r="E62" s="10">
        <f t="shared" si="1"/>
        <v>0</v>
      </c>
      <c r="F62" s="19"/>
      <c r="G62" s="26"/>
    </row>
    <row r="63" spans="1:7" x14ac:dyDescent="0.25">
      <c r="A63" s="3"/>
      <c r="B63" s="15"/>
      <c r="C63" s="5"/>
      <c r="D63" s="5"/>
      <c r="E63" s="5">
        <f t="shared" si="1"/>
        <v>0</v>
      </c>
      <c r="F63" s="20">
        <f>SUM(E63:E67)</f>
        <v>0</v>
      </c>
      <c r="G63" s="15"/>
    </row>
    <row r="64" spans="1:7" x14ac:dyDescent="0.25">
      <c r="A64" s="3"/>
      <c r="B64" s="15"/>
      <c r="C64" s="5"/>
      <c r="D64" s="5"/>
      <c r="E64" s="5">
        <f t="shared" si="1"/>
        <v>0</v>
      </c>
      <c r="F64" s="20"/>
      <c r="G64" s="15"/>
    </row>
    <row r="65" spans="1:7" x14ac:dyDescent="0.25">
      <c r="A65" s="3"/>
      <c r="B65" s="15"/>
      <c r="C65" s="5"/>
      <c r="D65" s="5"/>
      <c r="E65" s="5">
        <f t="shared" si="1"/>
        <v>0</v>
      </c>
      <c r="F65" s="20"/>
      <c r="G65" s="15"/>
    </row>
    <row r="66" spans="1:7" x14ac:dyDescent="0.25">
      <c r="A66" s="3"/>
      <c r="B66" s="15"/>
      <c r="C66" s="5"/>
      <c r="D66" s="5"/>
      <c r="E66" s="5">
        <f t="shared" si="1"/>
        <v>0</v>
      </c>
      <c r="F66" s="20"/>
      <c r="G66" s="15"/>
    </row>
    <row r="67" spans="1:7" x14ac:dyDescent="0.25">
      <c r="A67" s="3"/>
      <c r="B67" s="15"/>
      <c r="C67" s="5"/>
      <c r="D67" s="5"/>
      <c r="E67" s="5">
        <f t="shared" si="1"/>
        <v>0</v>
      </c>
      <c r="F67" s="20"/>
      <c r="G67" s="15"/>
    </row>
    <row r="68" spans="1:7" x14ac:dyDescent="0.25">
      <c r="A68" s="11"/>
      <c r="B68" s="16"/>
      <c r="C68" s="13"/>
      <c r="D68" s="13"/>
      <c r="E68" s="13">
        <f t="shared" si="1"/>
        <v>0</v>
      </c>
      <c r="F68" s="22">
        <f>SUM(E68:E71)</f>
        <v>0</v>
      </c>
      <c r="G68" s="16"/>
    </row>
    <row r="69" spans="1:7" x14ac:dyDescent="0.25">
      <c r="A69" s="11"/>
      <c r="B69" s="16"/>
      <c r="C69" s="13"/>
      <c r="D69" s="13"/>
      <c r="E69" s="13">
        <f t="shared" si="1"/>
        <v>0</v>
      </c>
      <c r="F69" s="22"/>
      <c r="G69" s="16"/>
    </row>
    <row r="70" spans="1:7" x14ac:dyDescent="0.25">
      <c r="A70" s="11"/>
      <c r="B70" s="16"/>
      <c r="C70" s="13"/>
      <c r="D70" s="13"/>
      <c r="E70" s="13">
        <f t="shared" si="1"/>
        <v>0</v>
      </c>
      <c r="F70" s="22"/>
      <c r="G70" s="16"/>
    </row>
    <row r="71" spans="1:7" x14ac:dyDescent="0.25">
      <c r="A71" s="11"/>
      <c r="B71" s="16"/>
      <c r="C71" s="13"/>
      <c r="D71" s="13"/>
      <c r="E71" s="13">
        <f t="shared" si="1"/>
        <v>0</v>
      </c>
      <c r="F71" s="22"/>
      <c r="G71" s="16"/>
    </row>
    <row r="72" spans="1:7" x14ac:dyDescent="0.25">
      <c r="A72" s="3"/>
      <c r="B72" s="18"/>
      <c r="C72" s="14"/>
      <c r="D72" s="14"/>
      <c r="E72" s="14">
        <f t="shared" si="1"/>
        <v>0</v>
      </c>
      <c r="F72" s="20">
        <f>SUM(E72:E74)</f>
        <v>0</v>
      </c>
      <c r="G72" s="18"/>
    </row>
    <row r="73" spans="1:7" x14ac:dyDescent="0.25">
      <c r="A73" s="3"/>
      <c r="B73" s="18"/>
      <c r="C73" s="14"/>
      <c r="D73" s="14"/>
      <c r="E73" s="14">
        <f t="shared" si="1"/>
        <v>0</v>
      </c>
      <c r="F73" s="20"/>
      <c r="G73" s="18"/>
    </row>
    <row r="74" spans="1:7" x14ac:dyDescent="0.25">
      <c r="A74" s="3"/>
      <c r="B74" s="18"/>
      <c r="C74" s="14"/>
      <c r="D74" s="14"/>
      <c r="E74" s="14">
        <f t="shared" si="1"/>
        <v>0</v>
      </c>
      <c r="F74" s="20"/>
      <c r="G74" s="18"/>
    </row>
    <row r="75" spans="1:7" x14ac:dyDescent="0.25">
      <c r="A75" s="11"/>
      <c r="B75" s="16"/>
      <c r="C75" s="13"/>
      <c r="D75" s="13"/>
      <c r="E75" s="13">
        <f t="shared" si="1"/>
        <v>0</v>
      </c>
      <c r="F75" s="22">
        <f>SUM(E75:E76)</f>
        <v>0</v>
      </c>
      <c r="G75" s="16"/>
    </row>
    <row r="76" spans="1:7" x14ac:dyDescent="0.25">
      <c r="A76" s="11"/>
      <c r="B76" s="16"/>
      <c r="C76" s="13"/>
      <c r="D76" s="13"/>
      <c r="E76" s="13">
        <f t="shared" si="1"/>
        <v>0</v>
      </c>
      <c r="F76" s="22"/>
      <c r="G76" s="16"/>
    </row>
    <row r="77" spans="1:7" x14ac:dyDescent="0.25">
      <c r="A77" s="3"/>
      <c r="B77" s="15"/>
      <c r="C77" s="5"/>
      <c r="D77" s="5"/>
      <c r="E77" s="5">
        <f t="shared" si="1"/>
        <v>0</v>
      </c>
      <c r="F77" s="20">
        <f>SUM(E77:E78)</f>
        <v>0</v>
      </c>
      <c r="G77" s="15"/>
    </row>
    <row r="78" spans="1:7" x14ac:dyDescent="0.25">
      <c r="A78" s="3"/>
      <c r="B78" s="15"/>
      <c r="C78" s="5"/>
      <c r="D78" s="5"/>
      <c r="E78" s="5">
        <f t="shared" si="1"/>
        <v>0</v>
      </c>
      <c r="F78" s="20"/>
      <c r="G78" s="15"/>
    </row>
    <row r="79" spans="1:7" x14ac:dyDescent="0.25">
      <c r="A79" s="8"/>
      <c r="B79" s="26"/>
      <c r="C79" s="10"/>
      <c r="D79" s="10"/>
      <c r="E79" s="10">
        <f t="shared" si="1"/>
        <v>0</v>
      </c>
      <c r="F79" s="19">
        <f>SUM(E79:E81)</f>
        <v>0</v>
      </c>
      <c r="G79" s="26"/>
    </row>
    <row r="80" spans="1:7" x14ac:dyDescent="0.25">
      <c r="A80" s="8"/>
      <c r="B80" s="26"/>
      <c r="C80" s="10"/>
      <c r="D80" s="10"/>
      <c r="E80" s="10">
        <f>D80-C80</f>
        <v>0</v>
      </c>
      <c r="F80" s="19"/>
      <c r="G80" s="26"/>
    </row>
    <row r="81" spans="1:7" x14ac:dyDescent="0.25">
      <c r="A81" s="8"/>
      <c r="B81" s="26"/>
      <c r="C81" s="10"/>
      <c r="D81" s="10"/>
      <c r="E81" s="10">
        <f>D81-C81</f>
        <v>0</v>
      </c>
      <c r="F81" s="19"/>
      <c r="G81" s="26"/>
    </row>
    <row r="82" spans="1:7" x14ac:dyDescent="0.25">
      <c r="A82" s="3"/>
      <c r="B82" s="17"/>
      <c r="C82" s="14"/>
      <c r="D82" s="14"/>
      <c r="E82" s="5">
        <f t="shared" si="1"/>
        <v>0</v>
      </c>
      <c r="F82" s="23">
        <f>SUM(E82:E83)</f>
        <v>0</v>
      </c>
      <c r="G82" s="17"/>
    </row>
    <row r="83" spans="1:7" x14ac:dyDescent="0.25">
      <c r="A83" s="3"/>
      <c r="B83" s="17"/>
      <c r="C83" s="14"/>
      <c r="D83" s="14"/>
      <c r="E83" s="5">
        <f t="shared" si="1"/>
        <v>0</v>
      </c>
      <c r="F83" s="23"/>
      <c r="G83" s="17"/>
    </row>
    <row r="84" spans="1:7" x14ac:dyDescent="0.25">
      <c r="A84" s="3" t="s">
        <v>7</v>
      </c>
      <c r="B84" s="15"/>
      <c r="C84" s="5"/>
      <c r="D84" s="5"/>
      <c r="E84" s="5">
        <f t="shared" si="1"/>
        <v>0</v>
      </c>
      <c r="F84" s="20">
        <f>SUM(F82,F77,F75,F72,F68,F63,F57,F50,F45,F41,F37,F31,F28,F25,F22,F20,F18,F16,F14,F12,F7,F3,F79,F34)</f>
        <v>0.87638888888888911</v>
      </c>
      <c r="G84" s="15"/>
    </row>
    <row r="85" spans="1:7" x14ac:dyDescent="0.25">
      <c r="A85" s="4"/>
    </row>
    <row r="86" spans="1:7" x14ac:dyDescent="0.25">
      <c r="A86" s="4"/>
    </row>
    <row r="87" spans="1:7" x14ac:dyDescent="0.25">
      <c r="A87" s="4"/>
    </row>
    <row r="88" spans="1:7" x14ac:dyDescent="0.25">
      <c r="A88" s="4"/>
    </row>
    <row r="89" spans="1:7" x14ac:dyDescent="0.25">
      <c r="A89" s="4"/>
    </row>
    <row r="90" spans="1:7" x14ac:dyDescent="0.25">
      <c r="A90" s="4"/>
    </row>
    <row r="91" spans="1:7" x14ac:dyDescent="0.25">
      <c r="A91" s="4"/>
    </row>
    <row r="92" spans="1:7" x14ac:dyDescent="0.25">
      <c r="A92" s="4"/>
    </row>
    <row r="93" spans="1:7" x14ac:dyDescent="0.25">
      <c r="A93" s="4"/>
    </row>
    <row r="94" spans="1:7" x14ac:dyDescent="0.25">
      <c r="A94" s="4"/>
    </row>
    <row r="95" spans="1:7" x14ac:dyDescent="0.25">
      <c r="A95" s="4"/>
    </row>
    <row r="96" spans="1:7" x14ac:dyDescent="0.25">
      <c r="A96" s="4"/>
    </row>
    <row r="97" spans="1:1" x14ac:dyDescent="0.25">
      <c r="A97" s="4"/>
    </row>
    <row r="98" spans="1:1" x14ac:dyDescent="0.25">
      <c r="A98" s="4"/>
    </row>
    <row r="99" spans="1:1" x14ac:dyDescent="0.25">
      <c r="A99" s="4"/>
    </row>
    <row r="100" spans="1:1" x14ac:dyDescent="0.25">
      <c r="A100" s="4"/>
    </row>
    <row r="101" spans="1:1" x14ac:dyDescent="0.25">
      <c r="A101" s="4"/>
    </row>
    <row r="102" spans="1:1" x14ac:dyDescent="0.25">
      <c r="A102" s="4"/>
    </row>
    <row r="103" spans="1:1" x14ac:dyDescent="0.25">
      <c r="A103" s="4"/>
    </row>
    <row r="104" spans="1:1" x14ac:dyDescent="0.25">
      <c r="A104" s="4"/>
    </row>
    <row r="105" spans="1:1" x14ac:dyDescent="0.25">
      <c r="A105" s="4"/>
    </row>
    <row r="106" spans="1:1" x14ac:dyDescent="0.25">
      <c r="A106" s="4"/>
    </row>
    <row r="107" spans="1:1" x14ac:dyDescent="0.25">
      <c r="A107" s="4"/>
    </row>
    <row r="108" spans="1:1" x14ac:dyDescent="0.25">
      <c r="A108" s="4"/>
    </row>
    <row r="109" spans="1:1" x14ac:dyDescent="0.25">
      <c r="A109" s="4"/>
    </row>
    <row r="110" spans="1:1" x14ac:dyDescent="0.25">
      <c r="A110" s="4"/>
    </row>
    <row r="111" spans="1:1" x14ac:dyDescent="0.25">
      <c r="A111" s="4"/>
    </row>
    <row r="112" spans="1:1" x14ac:dyDescent="0.25">
      <c r="A112" s="4"/>
    </row>
  </sheetData>
  <pageMargins left="0.7" right="0.7" top="0.75" bottom="0.75" header="0.3" footer="0.3"/>
  <pageSetup paperSize="9" scale="52" orientation="portrait" r:id="rId1"/>
  <rowBreaks count="1" manualBreakCount="1">
    <brk id="33" max="6"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1</vt:i4>
      </vt:variant>
      <vt:variant>
        <vt:lpstr>Graphiques</vt:lpstr>
      </vt:variant>
      <vt:variant>
        <vt:i4>1</vt:i4>
      </vt:variant>
      <vt:variant>
        <vt:lpstr>Plages nommées</vt:lpstr>
      </vt:variant>
      <vt:variant>
        <vt:i4>1</vt:i4>
      </vt:variant>
    </vt:vector>
  </HeadingPairs>
  <TitlesOfParts>
    <vt:vector size="3" baseType="lpstr">
      <vt:lpstr>Feuil1</vt:lpstr>
      <vt:lpstr>Graphique1</vt:lpstr>
      <vt:lpstr>Feuil1!Zone_d_impression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2026-05-29T13:27:29Z</dcterms:modified>
</cp:coreProperties>
</file>